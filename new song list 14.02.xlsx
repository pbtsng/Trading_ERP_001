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ding_erp\"/>
    </mc:Choice>
  </mc:AlternateContent>
  <xr:revisionPtr revIDLastSave="0" documentId="13_ncr:1_{7454482D-06E8-4E9C-AE34-13627CD200DD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KMD NXT" sheetId="1" r:id="rId1"/>
    <sheet name="Sheet4" sheetId="10" r:id="rId2"/>
    <sheet name="Sheet5" sheetId="11" r:id="rId3"/>
    <sheet name="KAY 2" sheetId="2" r:id="rId4"/>
    <sheet name="WIRE" sheetId="3" r:id="rId5"/>
    <sheet name="Mp_Total" sheetId="5" r:id="rId6"/>
    <sheet name="Cg_Total" sheetId="6" r:id="rId7"/>
    <sheet name="Sheet1" sheetId="7" r:id="rId8"/>
    <sheet name="Sheet2" sheetId="8" r:id="rId9"/>
    <sheet name="Sheet3" sheetId="9" r:id="rId10"/>
  </sheets>
  <definedNames>
    <definedName name="_xlnm._FilterDatabase" localSheetId="3" hidden="1">'KAY 2'!$H$2:$L$25</definedName>
  </definedNames>
  <calcPr calcId="191029"/>
  <pivotCaches>
    <pivotCache cacheId="0" r:id="rId11"/>
    <pivotCache cacheId="1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0" i="9" l="1"/>
  <c r="I35" i="9"/>
  <c r="D20" i="9"/>
  <c r="G32" i="1" l="1"/>
  <c r="G55" i="1"/>
  <c r="H44" i="3" l="1"/>
  <c r="G44" i="3"/>
  <c r="B44" i="3"/>
  <c r="P53" i="2"/>
  <c r="O53" i="2"/>
  <c r="E51" i="2" s="1"/>
  <c r="J53" i="2"/>
  <c r="I53" i="2"/>
  <c r="E50" i="2" s="1"/>
  <c r="G41" i="2"/>
  <c r="G14" i="2"/>
  <c r="B14" i="2"/>
  <c r="Y92" i="1"/>
  <c r="X92" i="1"/>
  <c r="W92" i="1"/>
  <c r="E90" i="1" s="1"/>
  <c r="R92" i="1"/>
  <c r="Q92" i="1"/>
  <c r="P92" i="1"/>
  <c r="K92" i="1"/>
  <c r="J92" i="1"/>
  <c r="I92" i="1"/>
  <c r="G16" i="1"/>
  <c r="G89" i="1" l="1"/>
  <c r="B89" i="1"/>
  <c r="B50" i="2"/>
  <c r="B51" i="2"/>
  <c r="E52" i="2" s="1"/>
  <c r="E53" i="2" s="1"/>
  <c r="B54" i="2" s="1"/>
  <c r="M92" i="1"/>
  <c r="E89" i="1"/>
  <c r="R53" i="2"/>
  <c r="G91" i="1"/>
  <c r="L53" i="2"/>
  <c r="T92" i="1"/>
  <c r="B90" i="1"/>
  <c r="B53" i="2" l="1"/>
  <c r="B52" i="2" s="1"/>
  <c r="E91" i="1"/>
  <c r="E92" i="1" s="1"/>
  <c r="B92" i="1"/>
  <c r="B91" i="1" l="1"/>
</calcChain>
</file>

<file path=xl/sharedStrings.xml><?xml version="1.0" encoding="utf-8"?>
<sst xmlns="http://schemas.openxmlformats.org/spreadsheetml/2006/main" count="542" uniqueCount="259">
  <si>
    <t>Mt</t>
  </si>
  <si>
    <t>Rate</t>
  </si>
  <si>
    <t xml:space="preserve">Name </t>
  </si>
  <si>
    <t>Wt</t>
  </si>
  <si>
    <t>Dis</t>
  </si>
  <si>
    <t>Prg</t>
  </si>
  <si>
    <t>Date</t>
  </si>
  <si>
    <t>V.no</t>
  </si>
  <si>
    <t>Ankur</t>
  </si>
  <si>
    <t xml:space="preserve">Arvind </t>
  </si>
  <si>
    <t xml:space="preserve">Bhagwati </t>
  </si>
  <si>
    <t xml:space="preserve">Amar Traders </t>
  </si>
  <si>
    <t xml:space="preserve">Bhansali </t>
  </si>
  <si>
    <t xml:space="preserve">Daura </t>
  </si>
  <si>
    <t xml:space="preserve">Balaji Panna </t>
  </si>
  <si>
    <t xml:space="preserve">Bhola </t>
  </si>
  <si>
    <t xml:space="preserve">Dayanand </t>
  </si>
  <si>
    <t xml:space="preserve">Kailash </t>
  </si>
  <si>
    <t xml:space="preserve">Jagat </t>
  </si>
  <si>
    <t xml:space="preserve">Prakash </t>
  </si>
  <si>
    <t xml:space="preserve">Sanju </t>
  </si>
  <si>
    <t>Total</t>
  </si>
  <si>
    <t xml:space="preserve">Santosh </t>
  </si>
  <si>
    <t xml:space="preserve">Sarita </t>
  </si>
  <si>
    <t xml:space="preserve">Prem Traders </t>
  </si>
  <si>
    <t xml:space="preserve">Radha Trading </t>
  </si>
  <si>
    <t xml:space="preserve">Rani Sati </t>
  </si>
  <si>
    <t xml:space="preserve">Umesh </t>
  </si>
  <si>
    <t xml:space="preserve">Sai Steel </t>
  </si>
  <si>
    <t xml:space="preserve">Sancheti </t>
  </si>
  <si>
    <t xml:space="preserve">Sharda Fingeshwar </t>
  </si>
  <si>
    <t>Nutan</t>
  </si>
  <si>
    <t xml:space="preserve">Umesh Durga </t>
  </si>
  <si>
    <t xml:space="preserve">Shriram Manish </t>
  </si>
  <si>
    <t xml:space="preserve">Utsav </t>
  </si>
  <si>
    <t xml:space="preserve">Umesh Pawan </t>
  </si>
  <si>
    <t xml:space="preserve">Vimal </t>
  </si>
  <si>
    <t xml:space="preserve">Vishvas </t>
  </si>
  <si>
    <t xml:space="preserve"> </t>
  </si>
  <si>
    <t>Dealers</t>
  </si>
  <si>
    <t>T_Disp</t>
  </si>
  <si>
    <t>New</t>
  </si>
  <si>
    <t>Diff</t>
  </si>
  <si>
    <t>Dispatch</t>
  </si>
  <si>
    <t>Program</t>
  </si>
  <si>
    <t>Plant_Bal</t>
  </si>
  <si>
    <t>Deal_Bal</t>
  </si>
  <si>
    <t>T1</t>
  </si>
  <si>
    <t>Bal</t>
  </si>
  <si>
    <t>T2</t>
  </si>
  <si>
    <t>MK</t>
  </si>
  <si>
    <t>Name</t>
  </si>
  <si>
    <t>T_Mk</t>
  </si>
  <si>
    <t>Disp_Mk</t>
  </si>
  <si>
    <t>Opening</t>
  </si>
  <si>
    <t xml:space="preserve">  </t>
  </si>
  <si>
    <t>Closing</t>
  </si>
  <si>
    <t>Party_Bal</t>
  </si>
  <si>
    <t xml:space="preserve">Rate </t>
  </si>
  <si>
    <t>KAY2</t>
  </si>
  <si>
    <t>Kay2</t>
  </si>
  <si>
    <t xml:space="preserve">Nutan </t>
  </si>
  <si>
    <t>Row Labels</t>
  </si>
  <si>
    <t>Sum of Wt</t>
  </si>
  <si>
    <t>Average of Rate</t>
  </si>
  <si>
    <t>Grand Total</t>
  </si>
  <si>
    <t xml:space="preserve">Anshul </t>
  </si>
  <si>
    <t xml:space="preserve">Ganesh Traders </t>
  </si>
  <si>
    <t xml:space="preserve">Naveen </t>
  </si>
  <si>
    <t xml:space="preserve">Satya Sai </t>
  </si>
  <si>
    <t xml:space="preserve">Shukla </t>
  </si>
  <si>
    <t>(blank)</t>
  </si>
  <si>
    <t>AC Cons.</t>
  </si>
  <si>
    <t xml:space="preserve">Akhil </t>
  </si>
  <si>
    <t xml:space="preserve">Dev Kurud </t>
  </si>
  <si>
    <t xml:space="preserve">Jatin </t>
  </si>
  <si>
    <t xml:space="preserve">KGN Hardware </t>
  </si>
  <si>
    <t xml:space="preserve">Kishan </t>
  </si>
  <si>
    <t xml:space="preserve">Maruti </t>
  </si>
  <si>
    <t xml:space="preserve">Mitesh </t>
  </si>
  <si>
    <t xml:space="preserve">Pragati </t>
  </si>
  <si>
    <t xml:space="preserve">Purosttam </t>
  </si>
  <si>
    <t xml:space="preserve">Rahul Manpur </t>
  </si>
  <si>
    <t xml:space="preserve">Raza Chandia </t>
  </si>
  <si>
    <t xml:space="preserve">RK Traders </t>
  </si>
  <si>
    <t xml:space="preserve">Santosh Manoj </t>
  </si>
  <si>
    <t xml:space="preserve">Shiv Shankar </t>
  </si>
  <si>
    <t xml:space="preserve">Siddharth </t>
  </si>
  <si>
    <t xml:space="preserve">Sinha </t>
  </si>
  <si>
    <t xml:space="preserve">Sk Sharad </t>
  </si>
  <si>
    <t>Umesh+Dealers</t>
  </si>
  <si>
    <t xml:space="preserve">RB </t>
  </si>
  <si>
    <t xml:space="preserve">Nityanand </t>
  </si>
  <si>
    <t xml:space="preserve">Nimesh </t>
  </si>
  <si>
    <t>Maa Ratangarh</t>
  </si>
  <si>
    <t xml:space="preserve">AC Cons </t>
  </si>
  <si>
    <t>Devi Iron</t>
  </si>
  <si>
    <t xml:space="preserve">Mahavir Traders </t>
  </si>
  <si>
    <t xml:space="preserve">Devi </t>
  </si>
  <si>
    <t xml:space="preserve">Amar </t>
  </si>
  <si>
    <t xml:space="preserve">Sushil </t>
  </si>
  <si>
    <t xml:space="preserve">Umesh Chaurasia Satna </t>
  </si>
  <si>
    <t xml:space="preserve">Radhika </t>
  </si>
  <si>
    <t xml:space="preserve">Karnal </t>
  </si>
  <si>
    <t xml:space="preserve">Prashant </t>
  </si>
  <si>
    <t>Umesh Union Trading</t>
  </si>
  <si>
    <t xml:space="preserve">SK Sharad </t>
  </si>
  <si>
    <t xml:space="preserve">Nayak Devri </t>
  </si>
  <si>
    <t>Daura</t>
  </si>
  <si>
    <t>Raghunath</t>
  </si>
  <si>
    <t xml:space="preserve">Shivam Sales </t>
  </si>
  <si>
    <t>KGN Hw</t>
  </si>
  <si>
    <t>Shiv Shankar</t>
  </si>
  <si>
    <t>Radha Trading</t>
  </si>
  <si>
    <t>Khandelwal Manish</t>
  </si>
  <si>
    <t>Mitesh Ent</t>
  </si>
  <si>
    <t xml:space="preserve">SK Sidhi </t>
  </si>
  <si>
    <t xml:space="preserve">Shriram Amarpatn </t>
  </si>
  <si>
    <t xml:space="preserve">Ganpati Traders </t>
  </si>
  <si>
    <t>Umesh Baghel Rampur</t>
  </si>
  <si>
    <t>Umesh Sharda Rampur</t>
  </si>
  <si>
    <t>Umesh Jagdamba</t>
  </si>
  <si>
    <t>Umesh Shriram Nagod</t>
  </si>
  <si>
    <t>Umesh Sunil Nagod</t>
  </si>
  <si>
    <t>Umesh Shubham Tra</t>
  </si>
  <si>
    <t>Umesh Garg Traders</t>
  </si>
  <si>
    <t>Umesh Om Shiv Traders</t>
  </si>
  <si>
    <t>Kanha hw</t>
  </si>
  <si>
    <t xml:space="preserve">Mishra Traders </t>
  </si>
  <si>
    <t>Prakash</t>
  </si>
  <si>
    <t>Lalit Traders</t>
  </si>
  <si>
    <t xml:space="preserve">Coffers </t>
  </si>
  <si>
    <t xml:space="preserve">Raika </t>
  </si>
  <si>
    <t>Sanju Raju Baikunthpur</t>
  </si>
  <si>
    <t>PLANT</t>
  </si>
  <si>
    <t xml:space="preserve">NUTAN </t>
  </si>
  <si>
    <t xml:space="preserve">DEVI </t>
  </si>
  <si>
    <t>MP</t>
  </si>
  <si>
    <t>CG</t>
  </si>
  <si>
    <t>Nandan</t>
  </si>
  <si>
    <t>224 Pending</t>
  </si>
  <si>
    <t xml:space="preserve">Lalit Traders </t>
  </si>
  <si>
    <t>Radha Tra</t>
  </si>
  <si>
    <t>51200+600</t>
  </si>
  <si>
    <t xml:space="preserve">Bhansali New </t>
  </si>
  <si>
    <t xml:space="preserve">RB New </t>
  </si>
  <si>
    <t xml:space="preserve">Vimal New </t>
  </si>
  <si>
    <t xml:space="preserve">Sanju New </t>
  </si>
  <si>
    <t xml:space="preserve">Mourya New </t>
  </si>
  <si>
    <t>Mourya New</t>
  </si>
  <si>
    <t xml:space="preserve">Radha Tra New </t>
  </si>
  <si>
    <t xml:space="preserve">Saluja New </t>
  </si>
  <si>
    <t xml:space="preserve">Arvind New </t>
  </si>
  <si>
    <t xml:space="preserve">Dev Pro New </t>
  </si>
  <si>
    <t>Jagat New</t>
  </si>
  <si>
    <t>Umesh Lohawala New</t>
  </si>
  <si>
    <t xml:space="preserve">Radhika New </t>
  </si>
  <si>
    <t>Sharda Finge New</t>
  </si>
  <si>
    <t xml:space="preserve">Nitesh New </t>
  </si>
  <si>
    <t xml:space="preserve">Anshul New </t>
  </si>
  <si>
    <t xml:space="preserve">Sai Krupa New </t>
  </si>
  <si>
    <t xml:space="preserve">Dayanand New </t>
  </si>
  <si>
    <t xml:space="preserve">Gokul New </t>
  </si>
  <si>
    <t>Radha Trading New</t>
  </si>
  <si>
    <t>Sai Krupa New</t>
  </si>
  <si>
    <t>Maa Ratangarh New</t>
  </si>
  <si>
    <t xml:space="preserve">Nayak Devri New </t>
  </si>
  <si>
    <t xml:space="preserve">Prashant New </t>
  </si>
  <si>
    <t xml:space="preserve">Sarita New </t>
  </si>
  <si>
    <t xml:space="preserve">Utsav New </t>
  </si>
  <si>
    <t xml:space="preserve">Lalit Traders New </t>
  </si>
  <si>
    <t xml:space="preserve">Kishan New </t>
  </si>
  <si>
    <t xml:space="preserve">Naveen New </t>
  </si>
  <si>
    <t xml:space="preserve">SK Sharad New </t>
  </si>
  <si>
    <t xml:space="preserve">Sharda Maihar New </t>
  </si>
  <si>
    <t xml:space="preserve">Umesh Pawan New </t>
  </si>
  <si>
    <t xml:space="preserve">Coffers New </t>
  </si>
  <si>
    <t xml:space="preserve">Ganesh Traders New </t>
  </si>
  <si>
    <t xml:space="preserve">Hirachand New </t>
  </si>
  <si>
    <t xml:space="preserve">Shukla New </t>
  </si>
  <si>
    <t xml:space="preserve">Reshu </t>
  </si>
  <si>
    <t xml:space="preserve">Ac Cons New </t>
  </si>
  <si>
    <t xml:space="preserve">Bhagwati New </t>
  </si>
  <si>
    <t xml:space="preserve">Nayak Newadi </t>
  </si>
  <si>
    <t xml:space="preserve">Ganga Hw </t>
  </si>
  <si>
    <t xml:space="preserve">Vishavs New </t>
  </si>
  <si>
    <t xml:space="preserve">Jagat New </t>
  </si>
  <si>
    <t xml:space="preserve">Sharda Maihar </t>
  </si>
  <si>
    <t>Karnal New</t>
  </si>
  <si>
    <t>Prakash New</t>
  </si>
  <si>
    <t>Santosh New</t>
  </si>
  <si>
    <t>AC cons New</t>
  </si>
  <si>
    <t>Ranisati New</t>
  </si>
  <si>
    <t>Bajrang Sarona New</t>
  </si>
  <si>
    <t>41411+300</t>
  </si>
  <si>
    <t xml:space="preserve">Shriram Amarpatan </t>
  </si>
  <si>
    <t>Vimal</t>
  </si>
  <si>
    <t>Sushil</t>
  </si>
  <si>
    <t>Utsav</t>
  </si>
  <si>
    <t>Rani sati</t>
  </si>
  <si>
    <t>Jagat</t>
  </si>
  <si>
    <t>Nitesh</t>
  </si>
  <si>
    <t>41611+300</t>
  </si>
  <si>
    <t>Goodwill</t>
  </si>
  <si>
    <t xml:space="preserve">Sudhir </t>
  </si>
  <si>
    <t>Ganga Hw</t>
  </si>
  <si>
    <t xml:space="preserve">KGN </t>
  </si>
  <si>
    <t xml:space="preserve">Saluja </t>
  </si>
  <si>
    <t>Project</t>
  </si>
  <si>
    <t xml:space="preserve">Sai Krupa </t>
  </si>
  <si>
    <t xml:space="preserve">Raza Payment </t>
  </si>
  <si>
    <t xml:space="preserve">Dev Pro </t>
  </si>
  <si>
    <t xml:space="preserve">Aman </t>
  </si>
  <si>
    <t xml:space="preserve">Mishra </t>
  </si>
  <si>
    <t xml:space="preserve">Neeraj Chaurasia </t>
  </si>
  <si>
    <t xml:space="preserve">A KAY2 Self </t>
  </si>
  <si>
    <t xml:space="preserve">Kiri </t>
  </si>
  <si>
    <t>Deepak Hardware</t>
  </si>
  <si>
    <t xml:space="preserve">Gokul </t>
  </si>
  <si>
    <t>Sharda Maihar</t>
  </si>
  <si>
    <t>karnal</t>
  </si>
  <si>
    <t>Akash enter</t>
  </si>
  <si>
    <t>Shriram M</t>
  </si>
  <si>
    <t>Umesh Loha</t>
  </si>
  <si>
    <t>59200+300</t>
  </si>
  <si>
    <t>Laxhmi Bhawarnpur</t>
  </si>
  <si>
    <t>Sanju</t>
  </si>
  <si>
    <t>Sarita</t>
  </si>
  <si>
    <t>Umesh</t>
  </si>
  <si>
    <t>Maa Tulsi</t>
  </si>
  <si>
    <t xml:space="preserve">Nishad Traders </t>
  </si>
  <si>
    <t>43211+300</t>
  </si>
  <si>
    <t xml:space="preserve">Jai Bajrang </t>
  </si>
  <si>
    <t>Umesh Chaurasia Satna</t>
  </si>
  <si>
    <t xml:space="preserve">Laxhmi Bhawarnpur </t>
  </si>
  <si>
    <t>Rama Maihar</t>
  </si>
  <si>
    <t xml:space="preserve">Nitesh </t>
  </si>
  <si>
    <t>pending sauda</t>
  </si>
  <si>
    <t>customer MP</t>
  </si>
  <si>
    <t>customer CG</t>
  </si>
  <si>
    <t>balance Sale order</t>
  </si>
  <si>
    <t>sale</t>
  </si>
  <si>
    <t>purchase</t>
  </si>
  <si>
    <t xml:space="preserve">currect date sale order booking </t>
  </si>
  <si>
    <t xml:space="preserve">Purchase </t>
  </si>
  <si>
    <t>opaning</t>
  </si>
  <si>
    <t>Party</t>
  </si>
  <si>
    <t>QTY</t>
  </si>
  <si>
    <t>Sale</t>
  </si>
  <si>
    <t xml:space="preserve">Closing </t>
  </si>
  <si>
    <t xml:space="preserve">Transection </t>
  </si>
  <si>
    <t>Trade</t>
  </si>
  <si>
    <t xml:space="preserve">new booking </t>
  </si>
  <si>
    <t>booking</t>
  </si>
  <si>
    <t>opaning for tommaorw</t>
  </si>
  <si>
    <t xml:space="preserve">company </t>
  </si>
  <si>
    <t xml:space="preserve">start date </t>
  </si>
  <si>
    <t>End Date</t>
  </si>
  <si>
    <t>create a printable excel report from purchase for duration with opaning/trade/new PO/Closing in column name -&gt;POno/po Date/supplyer/balance qty/base Rate(that is blance order rpeort ; trade must be loading advice made against po will be with SIno/SI Date/buyer/Sale qty/base Rate(Sold Material Only); new order booking POno/po Date/supplyer/balance qty/base Rate(only new order booking) closing POno/po Date/supplyer/balance qty/base Rate(that is blance order at the end of day)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</si>
</sst>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;@"/>
  </numFmts>
  <fonts count="4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2"/>
      <color theme="1"/>
      <name val="Calibri"/>
      <family val="2"/>
      <scheme val="minor"/>
    </font>
    <font>
      <b/>
      <sz val="12"/>
      <name val="Calibri"/>
      <family val="2"/>
    </font>
    <font>
      <b/>
      <sz val="12"/>
      <color rgb="FFFF0000"/>
      <name val="Calibri"/>
      <family val="2"/>
    </font>
    <font>
      <b/>
      <sz val="12"/>
      <color theme="1"/>
      <name val="Calibri"/>
      <family val="2"/>
    </font>
    <font>
      <sz val="12"/>
      <name val="Calibri"/>
      <family val="2"/>
    </font>
    <font>
      <b/>
      <sz val="10"/>
      <color rgb="FF000000"/>
      <name val="Calibri"/>
      <family val="2"/>
    </font>
    <font>
      <b/>
      <sz val="10"/>
      <name val="Calibri"/>
      <family val="2"/>
    </font>
    <font>
      <b/>
      <i/>
      <sz val="10"/>
      <name val="Calibri"/>
      <family val="2"/>
    </font>
    <font>
      <b/>
      <sz val="10"/>
      <color theme="1"/>
      <name val="Calibri"/>
      <family val="2"/>
    </font>
    <font>
      <b/>
      <sz val="18"/>
      <name val="Calibri"/>
      <family val="2"/>
    </font>
    <font>
      <b/>
      <sz val="10"/>
      <color rgb="FFFF0000"/>
      <name val="Calibri"/>
      <family val="2"/>
    </font>
    <font>
      <b/>
      <strike/>
      <sz val="1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b/>
      <sz val="8"/>
      <name val="Calibri"/>
      <family val="2"/>
    </font>
    <font>
      <sz val="8"/>
      <name val="Calibri"/>
      <family val="2"/>
    </font>
    <font>
      <sz val="8"/>
      <color theme="1"/>
      <name val="Calibri"/>
      <family val="2"/>
    </font>
    <font>
      <b/>
      <sz val="11"/>
      <color rgb="FFFF0000"/>
      <name val="Calibri"/>
      <family val="2"/>
    </font>
    <font>
      <b/>
      <strike/>
      <sz val="9"/>
      <name val="Calibri"/>
      <family val="2"/>
    </font>
    <font>
      <sz val="11"/>
      <name val="Calibri"/>
      <family val="2"/>
    </font>
    <font>
      <b/>
      <sz val="10"/>
      <color theme="1"/>
      <name val="Calibri"/>
      <family val="2"/>
      <scheme val="minor"/>
    </font>
    <font>
      <sz val="10"/>
      <name val="Calibri"/>
      <family val="2"/>
    </font>
    <font>
      <b/>
      <sz val="10"/>
      <color theme="0"/>
      <name val="Calibri"/>
      <family val="2"/>
    </font>
    <font>
      <b/>
      <sz val="16"/>
      <color theme="1"/>
      <name val="Calibri"/>
      <family val="2"/>
    </font>
    <font>
      <b/>
      <sz val="9"/>
      <color theme="1"/>
      <name val="Calibri"/>
      <family val="2"/>
    </font>
    <font>
      <b/>
      <sz val="9"/>
      <color rgb="FFFF0000"/>
      <name val="Calibri"/>
      <family val="2"/>
    </font>
    <font>
      <b/>
      <sz val="9"/>
      <color theme="1" tint="4.9989318521683403E-2"/>
      <name val="Calibri"/>
      <family val="2"/>
    </font>
    <font>
      <b/>
      <sz val="10"/>
      <color rgb="FFFF0000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12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6"/>
      <name val="Calibri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rgb="FF00B050"/>
      <name val="Calibri"/>
      <family val="2"/>
    </font>
    <font>
      <sz val="20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3" tint="0.59999389629810485"/>
        <bgColor theme="5" tint="0.5999938962981048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theme="5" tint="0.79995117038483843"/>
      </patternFill>
    </fill>
    <fill>
      <patternFill patternType="solid">
        <fgColor theme="0"/>
        <bgColor theme="5" tint="0.59999389629810485"/>
      </patternFill>
    </fill>
    <fill>
      <patternFill patternType="solid">
        <fgColor theme="5" tint="0.79995117038483843"/>
        <bgColor theme="5" tint="0.59999389629810485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7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/>
    <xf numFmtId="16" fontId="6" fillId="0" borderId="2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16" fontId="6" fillId="0" borderId="3" xfId="0" applyNumberFormat="1" applyFont="1" applyBorder="1" applyAlignment="1">
      <alignment horizontal="center" vertical="center" wrapText="1"/>
    </xf>
    <xf numFmtId="16" fontId="6" fillId="3" borderId="4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16" fontId="6" fillId="3" borderId="1" xfId="0" applyNumberFormat="1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wrapText="1"/>
    </xf>
    <xf numFmtId="0" fontId="6" fillId="4" borderId="1" xfId="0" applyFont="1" applyFill="1" applyBorder="1" applyAlignment="1">
      <alignment horizontal="center" vertical="center" wrapText="1"/>
    </xf>
    <xf numFmtId="16" fontId="6" fillId="3" borderId="5" xfId="0" applyNumberFormat="1" applyFont="1" applyFill="1" applyBorder="1" applyAlignment="1">
      <alignment horizontal="center" vertical="center" wrapText="1"/>
    </xf>
    <xf numFmtId="16" fontId="7" fillId="5" borderId="4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16" fontId="6" fillId="5" borderId="5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wrapText="1"/>
    </xf>
    <xf numFmtId="16" fontId="8" fillId="5" borderId="4" xfId="0" applyNumberFormat="1" applyFont="1" applyFill="1" applyBorder="1" applyAlignment="1">
      <alignment horizontal="center" vertical="center" wrapText="1"/>
    </xf>
    <xf numFmtId="16" fontId="6" fillId="5" borderId="4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wrapText="1"/>
    </xf>
    <xf numFmtId="0" fontId="6" fillId="3" borderId="5" xfId="0" applyFont="1" applyFill="1" applyBorder="1" applyAlignment="1">
      <alignment horizontal="center" vertical="center" wrapText="1"/>
    </xf>
    <xf numFmtId="16" fontId="7" fillId="3" borderId="4" xfId="0" applyNumberFormat="1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/>
    </xf>
    <xf numFmtId="16" fontId="6" fillId="0" borderId="4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vertical="center" wrapText="1"/>
    </xf>
    <xf numFmtId="0" fontId="6" fillId="0" borderId="1" xfId="0" applyFont="1" applyBorder="1" applyAlignment="1">
      <alignment wrapText="1"/>
    </xf>
    <xf numFmtId="0" fontId="6" fillId="0" borderId="6" xfId="0" applyFont="1" applyBorder="1" applyAlignment="1">
      <alignment horizontal="center" wrapText="1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wrapText="1"/>
    </xf>
    <xf numFmtId="0" fontId="6" fillId="0" borderId="7" xfId="0" applyFont="1" applyBorder="1" applyAlignment="1">
      <alignment wrapText="1"/>
    </xf>
    <xf numFmtId="0" fontId="6" fillId="0" borderId="7" xfId="0" applyFont="1" applyBorder="1" applyAlignment="1">
      <alignment horizontal="center" vertical="center" wrapText="1"/>
    </xf>
    <xf numFmtId="16" fontId="6" fillId="0" borderId="3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16" fontId="6" fillId="4" borderId="1" xfId="0" applyNumberFormat="1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16" fontId="6" fillId="0" borderId="11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16" fontId="10" fillId="0" borderId="1" xfId="0" applyNumberFormat="1" applyFont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wrapText="1"/>
    </xf>
    <xf numFmtId="0" fontId="10" fillId="0" borderId="1" xfId="0" applyFont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1" fontId="12" fillId="6" borderId="1" xfId="0" applyNumberFormat="1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164" fontId="13" fillId="3" borderId="1" xfId="0" applyNumberFormat="1" applyFont="1" applyFill="1" applyBorder="1" applyAlignment="1">
      <alignment horizontal="center" vertical="center"/>
    </xf>
    <xf numFmtId="1" fontId="13" fillId="3" borderId="1" xfId="0" applyNumberFormat="1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1" fontId="13" fillId="7" borderId="1" xfId="0" applyNumberFormat="1" applyFont="1" applyFill="1" applyBorder="1" applyAlignment="1">
      <alignment horizontal="center" vertical="center" wrapText="1"/>
    </xf>
    <xf numFmtId="1" fontId="11" fillId="7" borderId="1" xfId="0" applyNumberFormat="1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/>
    </xf>
    <xf numFmtId="1" fontId="11" fillId="10" borderId="1" xfId="0" applyNumberFormat="1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/>
    </xf>
    <xf numFmtId="1" fontId="11" fillId="11" borderId="1" xfId="0" applyNumberFormat="1" applyFont="1" applyFill="1" applyBorder="1" applyAlignment="1">
      <alignment horizontal="center" vertical="center" wrapText="1"/>
    </xf>
    <xf numFmtId="1" fontId="14" fillId="11" borderId="1" xfId="0" applyNumberFormat="1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/>
    </xf>
    <xf numFmtId="1" fontId="11" fillId="12" borderId="1" xfId="0" applyNumberFormat="1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/>
    </xf>
    <xf numFmtId="1" fontId="11" fillId="13" borderId="1" xfId="0" applyNumberFormat="1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164" fontId="13" fillId="13" borderId="1" xfId="0" applyNumberFormat="1" applyFont="1" applyFill="1" applyBorder="1" applyAlignment="1">
      <alignment horizontal="center" vertical="center"/>
    </xf>
    <xf numFmtId="1" fontId="13" fillId="13" borderId="1" xfId="0" applyNumberFormat="1" applyFont="1" applyFill="1" applyBorder="1" applyAlignment="1">
      <alignment horizontal="center" vertical="center" wrapText="1"/>
    </xf>
    <xf numFmtId="164" fontId="11" fillId="13" borderId="1" xfId="0" applyNumberFormat="1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7" fillId="10" borderId="1" xfId="0" applyFont="1" applyFill="1" applyBorder="1" applyAlignment="1">
      <alignment horizontal="center" vertical="center" wrapText="1"/>
    </xf>
    <xf numFmtId="1" fontId="17" fillId="10" borderId="1" xfId="0" applyNumberFormat="1" applyFont="1" applyFill="1" applyBorder="1" applyAlignment="1">
      <alignment horizontal="center" vertical="center" wrapText="1"/>
    </xf>
    <xf numFmtId="1" fontId="18" fillId="10" borderId="1" xfId="0" applyNumberFormat="1" applyFont="1" applyFill="1" applyBorder="1" applyAlignment="1">
      <alignment horizontal="center" vertical="center" wrapText="1"/>
    </xf>
    <xf numFmtId="0" fontId="19" fillId="14" borderId="1" xfId="0" applyFont="1" applyFill="1" applyBorder="1" applyAlignment="1">
      <alignment horizontal="center" vertical="center" wrapText="1"/>
    </xf>
    <xf numFmtId="1" fontId="19" fillId="14" borderId="1" xfId="0" applyNumberFormat="1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17" fillId="11" borderId="1" xfId="0" applyFont="1" applyFill="1" applyBorder="1" applyAlignment="1">
      <alignment horizontal="center" vertical="center" wrapText="1"/>
    </xf>
    <xf numFmtId="1" fontId="17" fillId="11" borderId="1" xfId="0" applyNumberFormat="1" applyFont="1" applyFill="1" applyBorder="1" applyAlignment="1">
      <alignment horizontal="center" vertical="center" wrapText="1"/>
    </xf>
    <xf numFmtId="1" fontId="19" fillId="11" borderId="1" xfId="0" applyNumberFormat="1" applyFont="1" applyFill="1" applyBorder="1" applyAlignment="1">
      <alignment horizontal="center" vertical="center" wrapText="1"/>
    </xf>
    <xf numFmtId="0" fontId="19" fillId="15" borderId="1" xfId="0" applyFont="1" applyFill="1" applyBorder="1" applyAlignment="1">
      <alignment horizontal="center" vertical="center" wrapText="1"/>
    </xf>
    <xf numFmtId="1" fontId="19" fillId="15" borderId="1" xfId="0" applyNumberFormat="1" applyFont="1" applyFill="1" applyBorder="1" applyAlignment="1">
      <alignment horizontal="center" vertical="center"/>
    </xf>
    <xf numFmtId="1" fontId="21" fillId="0" borderId="1" xfId="0" applyNumberFormat="1" applyFont="1" applyBorder="1" applyAlignment="1">
      <alignment horizontal="center" vertical="center" wrapText="1"/>
    </xf>
    <xf numFmtId="16" fontId="22" fillId="4" borderId="1" xfId="0" applyNumberFormat="1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1" fontId="23" fillId="0" borderId="1" xfId="0" applyNumberFormat="1" applyFont="1" applyBorder="1" applyAlignment="1">
      <alignment horizontal="center" vertical="center" wrapText="1"/>
    </xf>
    <xf numFmtId="1" fontId="18" fillId="0" borderId="1" xfId="0" applyNumberFormat="1" applyFont="1" applyBorder="1" applyAlignment="1">
      <alignment horizontal="center" vertical="center" wrapText="1"/>
    </xf>
    <xf numFmtId="0" fontId="19" fillId="11" borderId="1" xfId="0" applyFont="1" applyFill="1" applyBorder="1" applyAlignment="1">
      <alignment horizontal="center" vertical="center" wrapText="1"/>
    </xf>
    <xf numFmtId="0" fontId="19" fillId="10" borderId="1" xfId="0" applyFont="1" applyFill="1" applyBorder="1" applyAlignment="1">
      <alignment horizontal="center" vertical="center"/>
    </xf>
    <xf numFmtId="1" fontId="19" fillId="10" borderId="1" xfId="0" applyNumberFormat="1" applyFont="1" applyFill="1" applyBorder="1" applyAlignment="1">
      <alignment horizontal="center" vertical="center" wrapText="1"/>
    </xf>
    <xf numFmtId="1" fontId="24" fillId="10" borderId="1" xfId="0" applyNumberFormat="1" applyFont="1" applyFill="1" applyBorder="1" applyAlignment="1">
      <alignment horizontal="center" vertical="center" wrapText="1"/>
    </xf>
    <xf numFmtId="1" fontId="19" fillId="15" borderId="1" xfId="0" applyNumberFormat="1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18" fillId="15" borderId="1" xfId="0" applyFont="1" applyFill="1" applyBorder="1" applyAlignment="1">
      <alignment horizontal="center" vertical="center"/>
    </xf>
    <xf numFmtId="1" fontId="18" fillId="15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 wrapText="1"/>
    </xf>
    <xf numFmtId="164" fontId="13" fillId="4" borderId="1" xfId="0" applyNumberFormat="1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 wrapText="1"/>
    </xf>
    <xf numFmtId="1" fontId="13" fillId="16" borderId="1" xfId="0" applyNumberFormat="1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1" fontId="13" fillId="9" borderId="1" xfId="0" applyNumberFormat="1" applyFont="1" applyFill="1" applyBorder="1" applyAlignment="1">
      <alignment horizontal="center" vertical="center" wrapText="1"/>
    </xf>
    <xf numFmtId="164" fontId="13" fillId="9" borderId="1" xfId="0" applyNumberFormat="1" applyFont="1" applyFill="1" applyBorder="1" applyAlignment="1">
      <alignment horizontal="center" vertical="center"/>
    </xf>
    <xf numFmtId="1" fontId="13" fillId="9" borderId="1" xfId="0" applyNumberFormat="1" applyFont="1" applyFill="1" applyBorder="1" applyAlignment="1">
      <alignment horizontal="center" vertical="center"/>
    </xf>
    <xf numFmtId="0" fontId="11" fillId="16" borderId="1" xfId="0" applyFont="1" applyFill="1" applyBorder="1" applyAlignment="1">
      <alignment horizontal="center" vertical="center" wrapText="1"/>
    </xf>
    <xf numFmtId="0" fontId="11" fillId="16" borderId="1" xfId="0" applyFont="1" applyFill="1" applyBorder="1" applyAlignment="1">
      <alignment horizontal="center" vertical="center"/>
    </xf>
    <xf numFmtId="16" fontId="13" fillId="16" borderId="1" xfId="0" applyNumberFormat="1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0" fontId="11" fillId="0" borderId="1" xfId="0" applyFont="1" applyBorder="1"/>
    <xf numFmtId="0" fontId="21" fillId="12" borderId="1" xfId="0" applyFont="1" applyFill="1" applyBorder="1" applyAlignment="1">
      <alignment horizontal="center" vertical="center" wrapText="1"/>
    </xf>
    <xf numFmtId="16" fontId="22" fillId="16" borderId="1" xfId="0" applyNumberFormat="1" applyFont="1" applyFill="1" applyBorder="1" applyAlignment="1">
      <alignment horizontal="center" vertical="center" wrapText="1"/>
    </xf>
    <xf numFmtId="0" fontId="22" fillId="16" borderId="1" xfId="0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/>
    </xf>
    <xf numFmtId="1" fontId="22" fillId="4" borderId="1" xfId="0" applyNumberFormat="1" applyFont="1" applyFill="1" applyBorder="1" applyAlignment="1">
      <alignment horizontal="center" vertical="center" wrapText="1"/>
    </xf>
    <xf numFmtId="0" fontId="22" fillId="16" borderId="1" xfId="0" applyFont="1" applyFill="1" applyBorder="1" applyAlignment="1">
      <alignment horizontal="center" vertical="center" wrapText="1"/>
    </xf>
    <xf numFmtId="0" fontId="20" fillId="14" borderId="1" xfId="0" applyFont="1" applyFill="1" applyBorder="1" applyAlignment="1">
      <alignment horizontal="center" vertical="center" wrapText="1"/>
    </xf>
    <xf numFmtId="0" fontId="20" fillId="11" borderId="1" xfId="0" applyFont="1" applyFill="1" applyBorder="1" applyAlignment="1">
      <alignment horizontal="center" vertical="center" wrapText="1"/>
    </xf>
    <xf numFmtId="0" fontId="20" fillId="15" borderId="1" xfId="0" applyFont="1" applyFill="1" applyBorder="1" applyAlignment="1">
      <alignment horizontal="center" vertical="center" wrapText="1"/>
    </xf>
    <xf numFmtId="0" fontId="20" fillId="15" borderId="1" xfId="0" applyFont="1" applyFill="1" applyBorder="1" applyAlignment="1">
      <alignment horizontal="center" vertical="center"/>
    </xf>
    <xf numFmtId="1" fontId="20" fillId="14" borderId="1" xfId="0" applyNumberFormat="1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 wrapText="1"/>
    </xf>
    <xf numFmtId="1" fontId="13" fillId="16" borderId="1" xfId="0" applyNumberFormat="1" applyFont="1" applyFill="1" applyBorder="1" applyAlignment="1">
      <alignment horizontal="center" vertical="center" wrapText="1"/>
    </xf>
    <xf numFmtId="164" fontId="13" fillId="16" borderId="1" xfId="0" applyNumberFormat="1" applyFont="1" applyFill="1" applyBorder="1" applyAlignment="1">
      <alignment horizontal="center" vertical="center"/>
    </xf>
    <xf numFmtId="0" fontId="27" fillId="0" borderId="0" xfId="0" applyFont="1"/>
    <xf numFmtId="1" fontId="11" fillId="16" borderId="1" xfId="0" applyNumberFormat="1" applyFont="1" applyFill="1" applyBorder="1" applyAlignment="1">
      <alignment horizontal="center" vertical="center" wrapText="1"/>
    </xf>
    <xf numFmtId="16" fontId="13" fillId="16" borderId="1" xfId="0" applyNumberFormat="1" applyFont="1" applyFill="1" applyBorder="1" applyAlignment="1">
      <alignment horizontal="center" vertical="center"/>
    </xf>
    <xf numFmtId="1" fontId="22" fillId="16" borderId="1" xfId="0" applyNumberFormat="1" applyFont="1" applyFill="1" applyBorder="1" applyAlignment="1">
      <alignment horizontal="center" vertical="center" wrapText="1"/>
    </xf>
    <xf numFmtId="1" fontId="20" fillId="15" borderId="1" xfId="0" applyNumberFormat="1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" fontId="13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28" fillId="13" borderId="1" xfId="0" applyFont="1" applyFill="1" applyBorder="1" applyAlignment="1">
      <alignment horizontal="center" vertical="center" wrapText="1"/>
    </xf>
    <xf numFmtId="164" fontId="13" fillId="17" borderId="1" xfId="0" applyNumberFormat="1" applyFont="1" applyFill="1" applyBorder="1" applyAlignment="1">
      <alignment horizontal="center" vertical="center"/>
    </xf>
    <xf numFmtId="1" fontId="13" fillId="17" borderId="1" xfId="0" applyNumberFormat="1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" fillId="19" borderId="1" xfId="0" applyFont="1" applyFill="1" applyBorder="1" applyAlignment="1">
      <alignment horizontal="center" vertical="center"/>
    </xf>
    <xf numFmtId="0" fontId="13" fillId="17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wrapText="1"/>
    </xf>
    <xf numFmtId="0" fontId="26" fillId="0" borderId="0" xfId="0" applyFont="1" applyAlignment="1">
      <alignment horizontal="center"/>
    </xf>
    <xf numFmtId="1" fontId="15" fillId="0" borderId="1" xfId="0" applyNumberFormat="1" applyFont="1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164" fontId="13" fillId="20" borderId="1" xfId="0" applyNumberFormat="1" applyFont="1" applyFill="1" applyBorder="1" applyAlignment="1">
      <alignment horizontal="center" vertical="center"/>
    </xf>
    <xf numFmtId="1" fontId="13" fillId="20" borderId="1" xfId="0" applyNumberFormat="1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wrapText="1"/>
    </xf>
    <xf numFmtId="164" fontId="15" fillId="21" borderId="1" xfId="0" applyNumberFormat="1" applyFont="1" applyFill="1" applyBorder="1" applyAlignment="1">
      <alignment horizontal="center" vertical="center"/>
    </xf>
    <xf numFmtId="1" fontId="13" fillId="22" borderId="1" xfId="0" applyNumberFormat="1" applyFont="1" applyFill="1" applyBorder="1" applyAlignment="1">
      <alignment horizontal="center" vertical="center" wrapText="1"/>
    </xf>
    <xf numFmtId="1" fontId="29" fillId="22" borderId="1" xfId="0" applyNumberFormat="1" applyFont="1" applyFill="1" applyBorder="1" applyAlignment="1">
      <alignment horizontal="center" vertical="center" wrapText="1"/>
    </xf>
    <xf numFmtId="164" fontId="11" fillId="20" borderId="1" xfId="0" applyNumberFormat="1" applyFont="1" applyFill="1" applyBorder="1" applyAlignment="1">
      <alignment horizontal="center" vertical="center"/>
    </xf>
    <xf numFmtId="1" fontId="11" fillId="20" borderId="1" xfId="0" applyNumberFormat="1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/>
    </xf>
    <xf numFmtId="164" fontId="28" fillId="13" borderId="1" xfId="0" applyNumberFormat="1" applyFont="1" applyFill="1" applyBorder="1" applyAlignment="1">
      <alignment horizontal="center" vertical="center" wrapText="1"/>
    </xf>
    <xf numFmtId="0" fontId="28" fillId="23" borderId="1" xfId="0" applyFont="1" applyFill="1" applyBorder="1" applyAlignment="1">
      <alignment horizontal="center" vertical="center" wrapText="1"/>
    </xf>
    <xf numFmtId="1" fontId="3" fillId="18" borderId="1" xfId="0" applyNumberFormat="1" applyFont="1" applyFill="1" applyBorder="1" applyAlignment="1">
      <alignment horizontal="center" vertical="center" wrapText="1"/>
    </xf>
    <xf numFmtId="164" fontId="3" fillId="18" borderId="1" xfId="0" applyNumberFormat="1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 wrapText="1"/>
    </xf>
    <xf numFmtId="0" fontId="4" fillId="19" borderId="1" xfId="0" applyFont="1" applyFill="1" applyBorder="1" applyAlignment="1">
      <alignment horizontal="center" vertical="center"/>
    </xf>
    <xf numFmtId="1" fontId="3" fillId="19" borderId="1" xfId="0" applyNumberFormat="1" applyFont="1" applyFill="1" applyBorder="1" applyAlignment="1">
      <alignment horizontal="center" vertical="center" wrapText="1"/>
    </xf>
    <xf numFmtId="164" fontId="3" fillId="19" borderId="1" xfId="0" applyNumberFormat="1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 wrapText="1"/>
    </xf>
    <xf numFmtId="1" fontId="3" fillId="24" borderId="1" xfId="0" applyNumberFormat="1" applyFont="1" applyFill="1" applyBorder="1" applyAlignment="1">
      <alignment horizontal="center" vertical="center" wrapText="1"/>
    </xf>
    <xf numFmtId="164" fontId="3" fillId="24" borderId="1" xfId="0" applyNumberFormat="1" applyFont="1" applyFill="1" applyBorder="1" applyAlignment="1">
      <alignment horizontal="center" vertical="center"/>
    </xf>
    <xf numFmtId="0" fontId="4" fillId="25" borderId="1" xfId="0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17" fillId="0" borderId="1" xfId="0" applyNumberFormat="1" applyFont="1" applyBorder="1" applyAlignment="1">
      <alignment horizontal="center" vertical="center" wrapText="1"/>
    </xf>
    <xf numFmtId="1" fontId="17" fillId="0" borderId="1" xfId="0" applyNumberFormat="1" applyFont="1" applyBorder="1" applyAlignment="1">
      <alignment horizontal="center" vertical="center" wrapText="1"/>
    </xf>
    <xf numFmtId="1" fontId="19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1" fontId="30" fillId="0" borderId="1" xfId="0" applyNumberFormat="1" applyFont="1" applyBorder="1" applyAlignment="1">
      <alignment horizontal="center" vertical="center" wrapText="1"/>
    </xf>
    <xf numFmtId="1" fontId="19" fillId="0" borderId="1" xfId="0" applyNumberFormat="1" applyFont="1" applyBorder="1" applyAlignment="1">
      <alignment horizontal="center" vertical="center"/>
    </xf>
    <xf numFmtId="1" fontId="31" fillId="0" borderId="1" xfId="0" applyNumberFormat="1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164" fontId="19" fillId="0" borderId="1" xfId="0" applyNumberFormat="1" applyFont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 wrapText="1"/>
    </xf>
    <xf numFmtId="0" fontId="3" fillId="25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14" fontId="19" fillId="0" borderId="1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1" fontId="33" fillId="17" borderId="1" xfId="0" applyNumberFormat="1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 wrapText="1"/>
    </xf>
    <xf numFmtId="0" fontId="34" fillId="19" borderId="1" xfId="0" applyFont="1" applyFill="1" applyBorder="1" applyAlignment="1">
      <alignment horizontal="center" vertical="center"/>
    </xf>
    <xf numFmtId="0" fontId="35" fillId="9" borderId="1" xfId="0" applyFont="1" applyFill="1" applyBorder="1" applyAlignment="1">
      <alignment horizontal="center" vertical="center" wrapText="1"/>
    </xf>
    <xf numFmtId="1" fontId="35" fillId="9" borderId="1" xfId="0" applyNumberFormat="1" applyFont="1" applyFill="1" applyBorder="1" applyAlignment="1">
      <alignment horizontal="center" vertical="center" wrapText="1"/>
    </xf>
    <xf numFmtId="0" fontId="0" fillId="0" borderId="13" xfId="0" pivotButton="1" applyBorder="1"/>
    <xf numFmtId="0" fontId="0" fillId="0" borderId="14" xfId="0" applyBorder="1"/>
    <xf numFmtId="0" fontId="0" fillId="0" borderId="15" xfId="0" applyBorder="1"/>
    <xf numFmtId="0" fontId="0" fillId="0" borderId="16" xfId="0" applyBorder="1" applyAlignment="1">
      <alignment horizontal="left"/>
    </xf>
    <xf numFmtId="1" fontId="0" fillId="0" borderId="17" xfId="0" applyNumberFormat="1" applyBorder="1"/>
    <xf numFmtId="0" fontId="0" fillId="0" borderId="18" xfId="0" applyBorder="1" applyAlignment="1">
      <alignment horizontal="left"/>
    </xf>
    <xf numFmtId="1" fontId="0" fillId="0" borderId="20" xfId="0" applyNumberFormat="1" applyBorder="1"/>
    <xf numFmtId="16" fontId="13" fillId="9" borderId="1" xfId="0" applyNumberFormat="1" applyFont="1" applyFill="1" applyBorder="1" applyAlignment="1">
      <alignment horizontal="center" vertical="center" wrapText="1"/>
    </xf>
    <xf numFmtId="164" fontId="34" fillId="2" borderId="1" xfId="0" applyNumberFormat="1" applyFont="1" applyFill="1" applyBorder="1" applyAlignment="1">
      <alignment horizontal="center" vertical="center"/>
    </xf>
    <xf numFmtId="1" fontId="34" fillId="19" borderId="1" xfId="0" applyNumberFormat="1" applyFont="1" applyFill="1" applyBorder="1" applyAlignment="1">
      <alignment horizontal="center" vertical="center" wrapText="1"/>
    </xf>
    <xf numFmtId="164" fontId="34" fillId="19" borderId="1" xfId="0" applyNumberFormat="1" applyFont="1" applyFill="1" applyBorder="1" applyAlignment="1">
      <alignment horizontal="center" vertical="center"/>
    </xf>
    <xf numFmtId="164" fontId="35" fillId="17" borderId="1" xfId="0" applyNumberFormat="1" applyFont="1" applyFill="1" applyBorder="1" applyAlignment="1">
      <alignment horizontal="center" vertical="center"/>
    </xf>
    <xf numFmtId="1" fontId="35" fillId="17" borderId="1" xfId="0" applyNumberFormat="1" applyFont="1" applyFill="1" applyBorder="1" applyAlignment="1">
      <alignment horizontal="center" vertical="center" wrapText="1"/>
    </xf>
    <xf numFmtId="0" fontId="35" fillId="16" borderId="1" xfId="0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3" fillId="24" borderId="1" xfId="0" applyFont="1" applyFill="1" applyBorder="1" applyAlignment="1">
      <alignment horizontal="center" vertical="center"/>
    </xf>
    <xf numFmtId="0" fontId="4" fillId="24" borderId="1" xfId="0" applyFont="1" applyFill="1" applyBorder="1" applyAlignment="1">
      <alignment horizontal="center" vertical="center"/>
    </xf>
    <xf numFmtId="0" fontId="34" fillId="24" borderId="1" xfId="0" applyFont="1" applyFill="1" applyBorder="1" applyAlignment="1">
      <alignment horizontal="center" vertical="center"/>
    </xf>
    <xf numFmtId="164" fontId="34" fillId="24" borderId="1" xfId="0" applyNumberFormat="1" applyFont="1" applyFill="1" applyBorder="1" applyAlignment="1">
      <alignment horizontal="center" vertical="center"/>
    </xf>
    <xf numFmtId="1" fontId="35" fillId="16" borderId="1" xfId="0" applyNumberFormat="1" applyFont="1" applyFill="1" applyBorder="1" applyAlignment="1">
      <alignment horizontal="center" vertical="center"/>
    </xf>
    <xf numFmtId="164" fontId="35" fillId="16" borderId="1" xfId="0" applyNumberFormat="1" applyFont="1" applyFill="1" applyBorder="1" applyAlignment="1">
      <alignment horizontal="center" vertical="center"/>
    </xf>
    <xf numFmtId="0" fontId="36" fillId="3" borderId="1" xfId="0" applyFont="1" applyFill="1" applyBorder="1" applyAlignment="1">
      <alignment horizontal="center" vertical="center"/>
    </xf>
    <xf numFmtId="0" fontId="36" fillId="5" borderId="1" xfId="0" applyFont="1" applyFill="1" applyBorder="1" applyAlignment="1">
      <alignment horizontal="center" vertical="center"/>
    </xf>
    <xf numFmtId="164" fontId="15" fillId="17" borderId="1" xfId="0" applyNumberFormat="1" applyFont="1" applyFill="1" applyBorder="1" applyAlignment="1">
      <alignment horizontal="center" vertical="center"/>
    </xf>
    <xf numFmtId="16" fontId="11" fillId="13" borderId="1" xfId="0" applyNumberFormat="1" applyFont="1" applyFill="1" applyBorder="1" applyAlignment="1">
      <alignment horizontal="center" vertical="center"/>
    </xf>
    <xf numFmtId="164" fontId="11" fillId="17" borderId="1" xfId="0" applyNumberFormat="1" applyFont="1" applyFill="1" applyBorder="1" applyAlignment="1">
      <alignment horizontal="center" vertical="center"/>
    </xf>
    <xf numFmtId="1" fontId="11" fillId="17" borderId="1" xfId="0" applyNumberFormat="1" applyFont="1" applyFill="1" applyBorder="1" applyAlignment="1">
      <alignment horizontal="center" vertical="center" wrapText="1"/>
    </xf>
    <xf numFmtId="164" fontId="8" fillId="17" borderId="1" xfId="0" applyNumberFormat="1" applyFont="1" applyFill="1" applyBorder="1" applyAlignment="1">
      <alignment horizontal="center" vertical="center"/>
    </xf>
    <xf numFmtId="16" fontId="13" fillId="13" borderId="1" xfId="0" applyNumberFormat="1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7" fillId="0" borderId="0" xfId="0" applyFont="1" applyAlignment="1">
      <alignment horizontal="center" wrapText="1"/>
    </xf>
    <xf numFmtId="0" fontId="38" fillId="2" borderId="1" xfId="0" applyFont="1" applyFill="1" applyBorder="1" applyAlignment="1">
      <alignment horizontal="center" vertical="center"/>
    </xf>
    <xf numFmtId="0" fontId="23" fillId="19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/>
    </xf>
    <xf numFmtId="0" fontId="39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40" fillId="2" borderId="1" xfId="0" applyFont="1" applyFill="1" applyBorder="1" applyAlignment="1">
      <alignment horizontal="center"/>
    </xf>
    <xf numFmtId="0" fontId="41" fillId="27" borderId="1" xfId="0" applyFont="1" applyFill="1" applyBorder="1"/>
    <xf numFmtId="0" fontId="0" fillId="27" borderId="1" xfId="0" applyFill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 vertical="center" wrapText="1"/>
    </xf>
    <xf numFmtId="0" fontId="19" fillId="27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16" fontId="7" fillId="4" borderId="1" xfId="0" applyNumberFormat="1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 wrapText="1"/>
    </xf>
    <xf numFmtId="1" fontId="15" fillId="9" borderId="1" xfId="0" applyNumberFormat="1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1" fontId="15" fillId="9" borderId="1" xfId="0" applyNumberFormat="1" applyFont="1" applyFill="1" applyBorder="1" applyAlignment="1">
      <alignment horizontal="center" vertical="center" wrapText="1"/>
    </xf>
    <xf numFmtId="164" fontId="15" fillId="9" borderId="1" xfId="0" applyNumberFormat="1" applyFont="1" applyFill="1" applyBorder="1" applyAlignment="1">
      <alignment horizontal="center" vertical="center"/>
    </xf>
    <xf numFmtId="164" fontId="15" fillId="20" borderId="1" xfId="0" applyNumberFormat="1" applyFont="1" applyFill="1" applyBorder="1" applyAlignment="1">
      <alignment horizontal="center" vertical="center"/>
    </xf>
    <xf numFmtId="1" fontId="15" fillId="20" borderId="1" xfId="0" applyNumberFormat="1" applyFont="1" applyFill="1" applyBorder="1" applyAlignment="1">
      <alignment horizontal="center" vertical="center" wrapText="1"/>
    </xf>
    <xf numFmtId="1" fontId="15" fillId="17" borderId="1" xfId="0" applyNumberFormat="1" applyFont="1" applyFill="1" applyBorder="1" applyAlignment="1">
      <alignment horizontal="center" vertical="center" wrapText="1"/>
    </xf>
    <xf numFmtId="164" fontId="15" fillId="3" borderId="1" xfId="0" applyNumberFormat="1" applyFont="1" applyFill="1" applyBorder="1" applyAlignment="1">
      <alignment horizontal="center" vertical="center"/>
    </xf>
    <xf numFmtId="1" fontId="15" fillId="3" borderId="1" xfId="0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35" fillId="9" borderId="1" xfId="0" applyFont="1" applyFill="1" applyBorder="1" applyAlignment="1">
      <alignment horizontal="center" vertical="center"/>
    </xf>
    <xf numFmtId="164" fontId="35" fillId="9" borderId="1" xfId="0" applyNumberFormat="1" applyFont="1" applyFill="1" applyBorder="1" applyAlignment="1">
      <alignment horizontal="center" vertical="center"/>
    </xf>
    <xf numFmtId="1" fontId="35" fillId="9" borderId="1" xfId="0" applyNumberFormat="1" applyFont="1" applyFill="1" applyBorder="1" applyAlignment="1">
      <alignment horizontal="center" vertical="center"/>
    </xf>
    <xf numFmtId="0" fontId="23" fillId="24" borderId="1" xfId="0" applyFont="1" applyFill="1" applyBorder="1" applyAlignment="1">
      <alignment horizontal="center" vertical="center"/>
    </xf>
    <xf numFmtId="1" fontId="23" fillId="24" borderId="1" xfId="0" applyNumberFormat="1" applyFont="1" applyFill="1" applyBorder="1" applyAlignment="1">
      <alignment horizontal="center" vertical="center" wrapText="1"/>
    </xf>
    <xf numFmtId="164" fontId="23" fillId="24" borderId="1" xfId="0" applyNumberFormat="1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16" fontId="8" fillId="4" borderId="1" xfId="0" applyNumberFormat="1" applyFont="1" applyFill="1" applyBorder="1" applyAlignment="1">
      <alignment horizontal="center" vertical="center" wrapText="1"/>
    </xf>
    <xf numFmtId="1" fontId="23" fillId="19" borderId="1" xfId="0" applyNumberFormat="1" applyFont="1" applyFill="1" applyBorder="1" applyAlignment="1">
      <alignment horizontal="center" vertical="center" wrapText="1"/>
    </xf>
    <xf numFmtId="164" fontId="23" fillId="19" borderId="1" xfId="0" applyNumberFormat="1" applyFont="1" applyFill="1" applyBorder="1" applyAlignment="1">
      <alignment horizontal="center" vertical="center"/>
    </xf>
    <xf numFmtId="0" fontId="0" fillId="0" borderId="19" xfId="0" applyBorder="1"/>
    <xf numFmtId="0" fontId="0" fillId="0" borderId="0" xfId="0" applyAlignment="1">
      <alignment horizontal="left"/>
    </xf>
    <xf numFmtId="0" fontId="43" fillId="0" borderId="0" xfId="0" applyFont="1" applyAlignment="1">
      <alignment horizontal="center" wrapText="1"/>
    </xf>
  </cellXfs>
  <cellStyles count="1">
    <cellStyle name="Normal" xfId="0" builtinId="0"/>
  </cellStyles>
  <dxfs count="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ak Singhal" refreshedDate="46062.534938888886" createdVersion="4" refreshedVersion="8" minRefreshableVersion="3" recordCount="90" xr:uid="{00000000-000A-0000-FFFF-FFFF00000000}">
  <cacheSource type="worksheet">
    <worksheetSource ref="H2:L92" sheet="KMD NXT"/>
  </cacheSource>
  <cacheFields count="5">
    <cacheField name="Name " numFmtId="0">
      <sharedItems containsBlank="1" count="214">
        <s v="Ankur"/>
        <s v="A KAY2 Self "/>
        <s v="Goodwill"/>
        <s v="Jagat"/>
        <s v="Jagat New"/>
        <s v="Jagat New "/>
        <s v="Maa Ratangarh New"/>
        <s v="Mourya New "/>
        <s v="Neeraj Chaurasia "/>
        <s v="Prakash "/>
        <s v="Prakash New"/>
        <s v="RB New "/>
        <s v="Sanju "/>
        <s v="Sanju New "/>
        <s v="Santosh New"/>
        <s v="Sarita "/>
        <s v="Sarita New "/>
        <s v="Sharda Maihar New "/>
        <s v="Sudhir "/>
        <s v="Umesh "/>
        <s v="Umesh Durga "/>
        <s v="Umesh Lohawala New"/>
        <s v="Umesh Pawan "/>
        <s v="Umesh Pawan New "/>
        <s v="Vimal"/>
        <s v="Vimal "/>
        <s v="Vimal New "/>
        <s v="Vishavs New "/>
        <m/>
        <s v="T1"/>
        <s v="Amar Traders " u="1"/>
        <s v="Umesh New" u="1"/>
        <s v="Umesh New " u="1"/>
        <s v="Sudhir New " u="1"/>
        <s v="KAY2 Self " u="1"/>
        <s v="Amar Traders New " u="1"/>
        <s v="Amar Trading New " u="1"/>
        <s v="Coffers" u="1"/>
        <s v="Coffers " u="1"/>
        <s v="Amar Traders New" u="1"/>
        <s v="Prakash New " u="1"/>
        <s v="RB New" u="1"/>
        <s v="Santosh New " u="1"/>
        <s v="Santosh New *KAY2*" u="1"/>
        <s v="Sarita New" u="1"/>
        <s v="Shriram Amarpatan New" u="1"/>
        <s v="Swastik Bro New " u="1"/>
        <s v="Umesh Durga New" u="1"/>
        <s v="Umesh Pawan New" u="1"/>
        <s v="Nayak Newadi New " u="1"/>
        <s v="Self" u="1"/>
        <s v="Sanju New" u="1"/>
        <s v="Sharda Maihar New" u="1"/>
        <s v="Umesh C Satna New" u="1"/>
        <s v="Umesh Durga New " u="1"/>
        <s v="Neeraj Chaurasia New" u="1"/>
        <s v="Pragati New " u="1"/>
        <s v="Umesh Ganesh New " u="1"/>
        <s v="Sahil New" u="1"/>
        <s v="Reshu New " u="1"/>
        <s v="Shriram Amarpatan " u="1"/>
        <s v="Vimal New" u="1"/>
        <s v="Vishvas " u="1"/>
        <s v="Goodwill New" u="1"/>
        <s v="Rama Maihar New " u="1"/>
        <s v="Sudhir New" u="1"/>
        <s v="Umesh Lohawala" u="1"/>
        <s v="KMD NXT SELF" u="1"/>
        <s v="Bhola " u="1"/>
        <s v="Jagat " u="1"/>
        <s v="Maa Ratangarh" u="1"/>
        <s v="Mourya" u="1"/>
        <s v="Prakash" u="1"/>
        <s v="RB " u="1"/>
        <s v="Sahil " u="1"/>
        <s v="Sanju" u="1"/>
        <s v="Sarita" u="1"/>
        <s v="Shriram Amarpatan" u="1"/>
        <s v="Swastik Brothers " u="1"/>
        <s v="Umesh" u="1"/>
        <s v="Umesh Chaurasia Satna" u="1"/>
        <s v="Umesh Durga" u="1"/>
        <s v="Umesh Pawan" u="1"/>
        <s v="Morya" u="1"/>
        <s v="Neeraj Chaurasia" u="1"/>
        <s v="Pragati " u="1"/>
        <s v="Rama Maihar " u="1"/>
        <s v="RB" u="1"/>
        <s v="Sanju Raju Baikunthpur" u="1"/>
        <s v="Santosh " u="1"/>
        <s v="Sharda Maihar" u="1"/>
        <s v="Sudhir" u="1"/>
        <s v="Umesh baghel" u="1"/>
        <s v="Umesh Jagdamba" u="1"/>
        <s v="Umesh Nayak Ent " u="1"/>
        <s v="Umesh Sharda" u="1"/>
        <s v="Umesh Shree Traders " u="1"/>
        <s v="Amar Traders" u="1"/>
        <s v="Balaji Panna " u="1"/>
        <s v="Umesh loha" u="1"/>
        <s v="Umesh Chaurasia Satna " u="1"/>
        <s v="Umesh Lohawala " u="1"/>
        <s v="Kay2 self" u="1"/>
        <s v="Nikhil Jhakarpatan" u="1"/>
        <s v="Sahil /Pankaj Amarpatan " u="1"/>
        <s v="Rachit Traders " u="1"/>
        <s v="Umesh Chorasia" u="1"/>
        <s v="Umesh Garg Traders" u="1"/>
        <s v="Umesh Om" u="1"/>
        <s v="Umesh Om " u="1"/>
        <s v="Rajesh Saraogi" u="1"/>
        <s v="Umesh Churasia Satna" u="1"/>
        <s v="Nayak Maihar" u="1"/>
        <s v="Umesh Chourasia" u="1"/>
        <s v="Nayak Maihar " u="1"/>
        <s v="Bisen Dasani " u="1"/>
        <s v="Umesh Gauri Ganesh" u="1"/>
        <s v="Umesh Amit " u="1"/>
        <s v="Umesh Churasia Satna " u="1"/>
        <s v="Rai CHTR " u="1"/>
        <s v="Umesh Sunil Tra N" u="1"/>
        <s v="Sk sidhi" u="1"/>
        <s v="SK Sidhi " u="1"/>
        <s v="Balaji panna" u="1"/>
        <s v="Purosttam " u="1"/>
        <s v="Umesh Garg Tra" u="1"/>
        <s v="Umesh Sunil Nagod" u="1"/>
        <s v="Swastik Brothers" u="1"/>
        <s v="Umesh Om Tra Sat" u="1"/>
        <s v="Santosh Manoj" u="1"/>
        <s v="Santosh Manoj " u="1"/>
        <s v="Umesh Shriram Nagod" u="1"/>
        <s v="Mourya " u="1"/>
        <s v="Umesh Patiya Rampur" u="1"/>
        <s v="Umesh Jata " u="1"/>
        <s v="Umesh Chaurasia " u="1"/>
        <s v="Rai steel" u="1"/>
        <s v="Rai Steel " u="1"/>
        <s v="Umesh Om Shiv Traders" u="1"/>
        <s v="MKSPL ERROR" u="1"/>
        <s v="Rahul Traders" u="1"/>
        <s v="Umesh Chaurasia" u="1"/>
        <s v="Umesh Loha " u="1"/>
        <s v="Umesh chourasia Tra" u="1"/>
        <s v="Pragati" u="1"/>
        <s v="Umesh HariOm N" u="1"/>
        <s v="Radhe Krishna" u="1"/>
        <s v="Umesh Mangal" u="1"/>
        <s v="Umesh Jata Satna" u="1"/>
        <s v="Umesh Mangal " u="1"/>
        <s v="Umesh Baghel Rampur" u="1"/>
        <s v="Sanju/Hirachand" u="1"/>
        <s v="Rahul Manpur" u="1"/>
        <s v="Rahul Manpur " u="1"/>
        <s v="Pitambra" u="1"/>
        <s v="Umesh Union Trading" u="1"/>
        <s v="Umesh Ganesh Gauri" u="1"/>
        <s v="Sanad Gupta" u="1"/>
        <s v="Umesh Chourasia Ram" u="1"/>
        <s v=" Self/Kay2" u="1"/>
        <s v="Gyan Nowgaon" u="1"/>
        <s v="Gyan Nowgaon " u="1"/>
        <s v="Umesh Chaurasia Patia" u="1"/>
        <s v="Umesh Parth" u="1"/>
        <s v="Umesh Parth " u="1"/>
        <s v="Umesh Ravi " u="1"/>
        <s v="Umesh Laxmi Nagod" u="1"/>
        <s v="Vishvas" u="1"/>
        <s v="Balaji Steel " u="1"/>
        <s v="Santosh" u="1"/>
        <s v="Balaji Yatharth" u="1"/>
        <s v="Sona" u="1"/>
        <s v="Sona " u="1"/>
        <s v="Umesh Jagdamba Sat" u="1"/>
        <s v="Umesh Jagdamba Nagod" u="1"/>
        <s v="Nayak Niwadi" u="1"/>
        <s v="Umesh Sunil Nagod " u="1"/>
        <s v="Ratangarh/Self" u="1"/>
        <s v="Raza Umaria" u="1"/>
        <s v="Umesh Garg " u="1"/>
        <s v="Rachit" u="1"/>
        <s v="Rachit " u="1"/>
        <s v="Vinayak " u="1"/>
        <s v="Self/Kay2" u="1"/>
        <s v="Umesh Banbhori " u="1"/>
        <s v="Umesh Tondon " u="1"/>
        <s v="Balaji/yatharth" u="1"/>
        <s v="Ganesh Amanganj " u="1"/>
        <s v="Bhola" u="1"/>
        <s v="Umesh Shubham Tra" u="1"/>
        <s v="Umesh Sharda Rampur" u="1"/>
        <s v="Sharda Maihar " u="1"/>
        <s v="Neeraj Chourasia " u="1"/>
        <s v="Bisen" u="1"/>
        <s v="Indrapal" u="1"/>
        <s v="Shriram Amar" u="1"/>
        <s v="Maa Ratangarh " u="1"/>
        <s v="Umesh Hariom Nagod " u="1"/>
        <s v="Vinil Lunia Project " u="1"/>
        <s v="PS Bisen Dasani " u="1"/>
        <s v="Goodwill " u="1"/>
        <s v="Ganesh Amanganj" u="1"/>
        <s v="Umesh Maa Banbhori" u="1"/>
        <s v="Bisen Umaria" u="1"/>
        <s v="Raza Chandia " u="1"/>
        <s v="Pursottam" u="1"/>
        <s v="Shriram Amarpatn " u="1"/>
        <s v="Sahrda Maihar " u="1"/>
        <s v="Pragati Maihar " u="1"/>
        <s v="Samkit Badamalehra" u="1"/>
        <s v="Rama Maihar" u="1"/>
        <s v="Umesh Satna Steel " u="1"/>
        <s v="Umesh Chaurasia Sat" u="1"/>
        <s v="Umesh Chourasia Sat" u="1"/>
      </sharedItems>
    </cacheField>
    <cacheField name="Wt" numFmtId="0">
      <sharedItems containsString="0" containsBlank="1" containsNumber="1" containsInteger="1" minValue="2" maxValue="2970"/>
    </cacheField>
    <cacheField name="Dis" numFmtId="0">
      <sharedItems containsString="0" containsBlank="1" containsNumber="1" containsInteger="1" minValue="25" maxValue="55"/>
    </cacheField>
    <cacheField name="Prg" numFmtId="0">
      <sharedItems containsString="0" containsBlank="1" containsNumber="1" containsInteger="1" minValue="2" maxValue="315"/>
    </cacheField>
    <cacheField name="Rate" numFmtId="0">
      <sharedItems containsBlank="1" containsMixedTypes="1" containsNumber="1" containsInteger="1" minValue="38811" maxValue="428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ak Singhal" refreshedDate="46062.535191782408" createdVersion="4" refreshedVersion="8" minRefreshableVersion="3" recordCount="89" xr:uid="{00000000-000A-0000-FFFF-FFFF01000000}">
  <cacheSource type="worksheet">
    <worksheetSource ref="O2:S91" sheet="KMD NXT"/>
  </cacheSource>
  <cacheFields count="5">
    <cacheField name="Name " numFmtId="0">
      <sharedItems containsBlank="1" count="296">
        <s v="AC Cons "/>
        <s v="AC cons New"/>
        <s v="Ac Cons New "/>
        <s v="Aman "/>
        <s v="Anshul New "/>
        <s v="Arvind "/>
        <s v="Arvind New "/>
        <s v="Bajrang Sarona New"/>
        <s v="Bhagwati New "/>
        <s v="Bhansali "/>
        <s v="Bhansali New "/>
        <s v="Coffers "/>
        <s v="Coffers New "/>
        <s v="Dayanand "/>
        <s v="Dayanand New "/>
        <s v="Dev Kurud "/>
        <s v="Dev Pro "/>
        <s v="Dev Pro New "/>
        <s v="Ganesh Traders "/>
        <s v="Ganesh Traders New "/>
        <s v="Gokul "/>
        <s v="Gokul New "/>
        <s v="Kailash "/>
        <s v="Karnal "/>
        <s v="Karnal New"/>
        <s v="KGN "/>
        <s v="Kiri "/>
        <s v="Kishan New "/>
        <s v="Lalit Traders "/>
        <s v="Lalit Traders New "/>
        <s v="Mahavir Traders "/>
        <s v="Mishra "/>
        <s v="Naveen New "/>
        <s v="Nayak Devri "/>
        <s v="Nayak Devri New "/>
        <s v="Nityanand "/>
        <s v="Prem Traders "/>
        <s v="Project"/>
        <s v="Radha Tra New "/>
        <s v="Radha Trading "/>
        <s v="Radha Trading New"/>
        <s v="Rani sati"/>
        <s v="Ranisati New"/>
        <s v="Raza Payment "/>
        <s v="Sai Krupa "/>
        <s v="Sai Krupa New "/>
        <s v="Saluja "/>
        <s v="Saluja New "/>
        <s v="Sancheti "/>
        <s v="Satya Sai "/>
        <s v="Sharda Finge New"/>
        <s v="Shriram Manish "/>
        <s v="Shukla New "/>
        <s v="Siddharth "/>
        <s v="SK Sharad New "/>
        <s v="Sushil"/>
        <s v="Utsav"/>
        <s v="Utsav "/>
        <s v="Utsav New "/>
        <m/>
        <s v="Akhil" u="1"/>
        <s v="KGN keshkal New" u="1"/>
        <s v="Khandelwal Manish" u="1"/>
        <s v="Maa Tulsi " u="1"/>
        <s v="Mishra Tra New" u="1"/>
        <s v="Nityanand New " u="1"/>
        <s v="Rani Sati New " u="1"/>
        <s v="Sai Steel " u="1"/>
        <s v="Satya Sai New " u="1"/>
        <s v="Utsav new" u="1"/>
        <s v="GND Kedia New " u="1"/>
        <s v="Kailash New " u="1"/>
        <s v="Nishad Traders" u="1"/>
        <s v="Raghunath " u="1"/>
        <s v="Shriram Manish New " u="1"/>
        <s v="Siddharth New " u="1"/>
        <s v="Arvind New" u="1"/>
        <s v="Dayanand New" u="1"/>
        <s v="Kanha Hw New " u="1"/>
        <s v="Karnal New " u="1"/>
        <s v="Laxhmi Bahwarpur " u="1"/>
        <s v="Laxhmi Bhawarpur New" u="1"/>
        <s v="Laxmi Bhanwarpur" u="1"/>
        <s v="Mahavir New " u="1"/>
        <s v="Maheshwari New " u="1"/>
        <s v="Maruti New " u="1"/>
        <s v="Mishra New " u="1"/>
        <s v="Mohan Bhawanpur " u="1"/>
        <s v="Nayak Devri New" u="1"/>
        <s v="Sai Steel New " u="1"/>
        <s v="Sancheti New " u="1"/>
        <s v="Satya Sai New" u="1"/>
        <s v="Sushil New " u="1"/>
        <s v="Dev Kurud New " u="1"/>
        <s v="Prem Traders New " u="1"/>
        <s v="RadhaTrading New" u="1"/>
        <s v="Rani Sati New" u="1"/>
        <s v="Sancheti New" u="1"/>
        <s v="Shukla New" u="1"/>
        <s v="Sushil New" u="1"/>
        <s v="Anshul New" u="1"/>
        <s v="Ganesh New" u="1"/>
        <s v="Jatin New " u="1"/>
        <s v="Maa Tulsi New" u="1"/>
        <s v="Project New " u="1"/>
        <s v="Raghunath New " u="1"/>
        <s v="Shriram Manish New" u="1"/>
        <s v="Bahgwati New " u="1"/>
        <s v="Prem New" u="1"/>
        <s v="Sk Sharad New" u="1"/>
        <s v="AC New" u="1"/>
        <s v="Nimesh New " u="1"/>
        <s v="Raj Hw New " u="1"/>
        <s v="Anshul " u="1"/>
        <s v="Mahaveer" u="1"/>
        <s v="Nayak New" u="1"/>
        <s v="Sai Krupa" u="1"/>
        <s v="Tiwari Rajim New " u="1"/>
        <s v="Sinha New " u="1"/>
        <s v="Sushil " u="1"/>
        <s v="Akshaj New" u="1"/>
        <s v="Aman New" u="1"/>
        <s v="Bhagwati " u="1"/>
        <s v="Bhagwati New" u="1"/>
        <s v="Daura" u="1"/>
        <s v="Dev Kurud New" u="1"/>
        <s v="Dev Provision " u="1"/>
        <s v="JK Traders " u="1"/>
        <s v="Kiri New" u="1"/>
        <s v="Kishan " u="1"/>
        <s v="Kishan New" u="1"/>
        <s v="Maruti " u="1"/>
        <s v="Mishra" u="1"/>
        <s v="Naveen " u="1"/>
        <s v="Nimesh " u="1"/>
        <s v="Raghunath" u="1"/>
        <s v="Raghunath Sukhlal SZ" u="1"/>
        <s v="Rani Sati " u="1"/>
        <s v="Self " u="1"/>
        <s v="Sharda Finge" u="1"/>
        <s v="Sharda Fingeshwar" u="1"/>
        <s v="Shivam Sales " u="1"/>
        <s v="Shukla " u="1"/>
        <s v="SK Sharad " u="1"/>
        <s v="Surya Traders " u="1"/>
        <s v="GND Project " u="1"/>
        <s v="Kanha Hardware" u="1"/>
        <s v="Kanha Hw " u="1"/>
        <s v="Laxhmi Bhawarpur" u="1"/>
        <s v="Laxhmi Bhawarpur " u="1"/>
        <s v="Siddharth" u="1"/>
        <s v="Akash " u="1"/>
        <s v="Akash Ent" u="1"/>
        <s v="Anshul" u="1"/>
        <s v="Khandelwal Manish " u="1"/>
        <s v="Lalit " u="1"/>
        <s v="Mahavir" u="1"/>
        <s v="Sinha " u="1"/>
        <s v="Sharda Fingeshwar " u="1"/>
        <s v="Bajrang Sarona " u="1"/>
        <s v="Lalit Traders" u="1"/>
        <s v="Kanha Hw" u="1"/>
        <s v="Mishra Traders " u="1"/>
        <s v="Raza" u="1"/>
        <s v="Raza " u="1"/>
        <s v="Sai Steel" u="1"/>
        <s v="Niraj Ent" u="1"/>
        <s v="Rk Traders " u="1"/>
        <s v="Rajesh Traders " u="1"/>
        <s v="Sharad SK" u="1"/>
        <s v="Lalit" u="1"/>
        <s v="Karnal" u="1"/>
        <s v="Bhagwati" u="1"/>
        <s v="Deepak Tra" u="1"/>
        <s v="Shivam Sales" u="1"/>
        <s v="JK Traders" u="1"/>
        <s v="Ganpati Traders " u="1"/>
        <s v="Kailash Traders" u="1"/>
        <s v="Sushil  Deepak" u="1"/>
        <s v="Niraj" u="1"/>
        <s v="Niraj " u="1"/>
        <s v="Mahaveer Nagri " u="1"/>
        <s v="Mahavir Traders" u="1"/>
        <s v="Daura S.S." u="1"/>
        <s v="Mahavir Agency " u="1"/>
        <s v="Akash" u="1"/>
        <s v="Shivshankar " u="1"/>
        <s v="Sushil Manish" u="1"/>
        <s v="Naveen" u="1"/>
        <s v="AC Cons" u="1"/>
        <s v="Mitesh Enterprises " u="1"/>
        <s v="SR Raghunath Hw" u="1"/>
        <s v="Shukla" u="1"/>
        <s v="KGN Hardware " u="1"/>
        <s v="Rajim Krinjal  " u="1"/>
        <s v="Shivam Deobhog " u="1"/>
        <s v="Preeti Bholenath " u="1"/>
        <s v="AC Construction" u="1"/>
        <s v="Bhansali" u="1"/>
        <s v="Sinha hw" u="1"/>
        <s v="Sinha Hw " u="1"/>
        <s v="Kishan" u="1"/>
        <s v="AC con" u="1"/>
        <s v="maheshwari traders" u="1"/>
        <s v="Dev pro" u="1"/>
        <s v="Shariram Manish " u="1"/>
        <s v="Shriram manish" u="1"/>
        <s v="khandelwal" u="1"/>
        <s v="Khandelwal " u="1"/>
        <s v="RS Mainpur " u="1"/>
        <s v="Tulsi" u="1"/>
        <s v="Tulsi " u="1"/>
        <s v="Kailash" u="1"/>
        <s v="Niraj Enterprises " u="1"/>
        <s v="Raghunath Marketing" u="1"/>
        <s v="Ashish Traders " u="1"/>
        <s v="Kailash Traders " u="1"/>
        <s v="Gokul" u="1"/>
        <s v="Gandhi Bro" u="1"/>
        <s v="Gandhi Bro " u="1"/>
        <s v="Daura " u="1"/>
        <s v="Maa Karma " u="1"/>
        <s v="AC " u="1"/>
        <s v="Akhil " u="1"/>
        <s v="Radha Trading" u="1"/>
        <s v="Askhaj" u="1"/>
        <s v="Dev Provision" u="1"/>
        <s v="Jai Bajrang Sarona " u="1"/>
        <s v="Preeti Trading " u="1"/>
        <s v="Nayak Traders " u="1"/>
        <s v="Ranisati" u="1"/>
        <s v="Dayanand" u="1"/>
        <s v="Tiwari Rajim " u="1"/>
        <s v="Shiv Shankar" u="1"/>
        <s v="Bajrang Sarona" u="1"/>
        <s v="Shiv Shankar " u="1"/>
        <s v="Satya Sai" u="1"/>
        <s v="Nityanand" u="1"/>
        <s v="SK Sharad" u="1"/>
        <s v="Sancheti" u="1"/>
        <s v="Maa Chandi" u="1"/>
        <s v="Jai Bajrang Sarona" u="1"/>
        <s v="Maa Chandi " u="1"/>
        <s v="Mitesh Ent" u="1"/>
        <s v="Aman" u="1"/>
        <s v="Nayak Tra" u="1"/>
        <s v="Jatin " u="1"/>
        <s v="Akshaj " u="1"/>
        <s v="Raghunath Marketing " u="1"/>
        <s v="Sai Kripa" u="1"/>
        <s v="Raghunath Special Size" u="1"/>
        <s v="Niraj Enterprises" u="1"/>
        <s v="Nimesh Deobhog" u="1"/>
        <s v="Sushil Kanha" u="1"/>
        <s v="Akash Enterprises" u="1"/>
        <s v="Coffers Metallics" u="1"/>
        <s v="Jatin Sales" u="1"/>
        <s v="Shivam Singhanpur" u="1"/>
        <s v="Kailsh Trders" u="1"/>
        <s v="SR Raghunath Hw " u="1"/>
        <s v="Meet" u="1"/>
        <s v="Raghunath Hw" u="1"/>
        <s v="Preeti " u="1"/>
        <s v="Mitesh" u="1"/>
        <s v="Mitesh " u="1"/>
        <s v="Hirwani Traders " u="1"/>
        <s v="Maheshwari" u="1"/>
        <s v="RS Traders Mainpur " u="1"/>
        <s v="Maheshwari " u="1"/>
        <s v="Dev Kurud" u="1"/>
        <s v="Deeapk Tra" u="1"/>
        <s v="Ganesh Traders" u="1"/>
        <s v="RK" u="1"/>
        <s v="Sukhlal SZ" u="1"/>
        <s v="RK " u="1"/>
        <s v="Nimesh Traders " u="1"/>
        <s v="KGN Hw" u="1"/>
        <s v="Lalit tra" u="1"/>
        <s v="KGN Hw " u="1"/>
        <s v="Prem Tra" u="1"/>
        <s v="Raza Kanker" u="1"/>
        <s v="Raza Kanker " u="1"/>
        <s v="SR Raghunath " u="1"/>
        <s v="SR Raghunath  " u="1"/>
        <s v="Saluja" u="1"/>
        <s v="Akashj " u="1"/>
        <s v="JK " u="1"/>
        <s v="Prem Traders" u="1"/>
        <s v="Prem " u="1"/>
        <s v="Kiri" u="1"/>
        <s v="AC Cons." u="1"/>
        <s v="Nayak Devri" u="1"/>
        <s v="Sushil Self" u="1"/>
        <s v="Sushil Geeta" u="1"/>
        <s v="Raj HW " u="1"/>
        <s v="Arvind" u="1"/>
      </sharedItems>
    </cacheField>
    <cacheField name="Wt" numFmtId="0">
      <sharedItems containsString="0" containsBlank="1" containsNumber="1" containsInteger="1" minValue="1" maxValue="273"/>
    </cacheField>
    <cacheField name="Dis" numFmtId="0">
      <sharedItems containsString="0" containsBlank="1" containsNumber="1" containsInteger="1" minValue="12" maxValue="20"/>
    </cacheField>
    <cacheField name="Prg" numFmtId="0">
      <sharedItems containsString="0" containsBlank="1" containsNumber="1" containsInteger="1" minValue="1" maxValue="29"/>
    </cacheField>
    <cacheField name="Rate" numFmtId="1">
      <sharedItems containsString="0" containsBlank="1" containsNumber="1" containsInteger="1" minValue="36611" maxValue="434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n v="333"/>
    <m/>
    <m/>
    <n v="41411"/>
  </r>
  <r>
    <x v="1"/>
    <n v="33"/>
    <m/>
    <m/>
    <n v="42411"/>
  </r>
  <r>
    <x v="2"/>
    <n v="35"/>
    <m/>
    <m/>
    <n v="41611"/>
  </r>
  <r>
    <x v="3"/>
    <n v="200"/>
    <m/>
    <m/>
    <n v="41611"/>
  </r>
  <r>
    <x v="4"/>
    <n v="31"/>
    <m/>
    <n v="30"/>
    <n v="42411"/>
  </r>
  <r>
    <x v="5"/>
    <n v="251"/>
    <m/>
    <m/>
    <n v="41411"/>
  </r>
  <r>
    <x v="6"/>
    <n v="7"/>
    <m/>
    <m/>
    <n v="42511"/>
  </r>
  <r>
    <x v="7"/>
    <n v="18"/>
    <m/>
    <n v="18"/>
    <n v="38811"/>
  </r>
  <r>
    <x v="8"/>
    <n v="40"/>
    <m/>
    <m/>
    <n v="42411"/>
  </r>
  <r>
    <x v="9"/>
    <n v="320"/>
    <m/>
    <n v="26"/>
    <n v="41611"/>
  </r>
  <r>
    <x v="9"/>
    <n v="205"/>
    <m/>
    <m/>
    <n v="41911"/>
  </r>
  <r>
    <x v="10"/>
    <n v="9"/>
    <m/>
    <n v="9"/>
    <n v="41411"/>
  </r>
  <r>
    <x v="11"/>
    <n v="17"/>
    <m/>
    <m/>
    <n v="41811"/>
  </r>
  <r>
    <x v="11"/>
    <n v="50"/>
    <m/>
    <m/>
    <n v="40911"/>
  </r>
  <r>
    <x v="11"/>
    <n v="40"/>
    <m/>
    <m/>
    <n v="41611"/>
  </r>
  <r>
    <x v="11"/>
    <n v="40"/>
    <m/>
    <m/>
    <n v="41411"/>
  </r>
  <r>
    <x v="12"/>
    <n v="175"/>
    <m/>
    <n v="27"/>
    <n v="41911"/>
  </r>
  <r>
    <x v="12"/>
    <n v="100"/>
    <m/>
    <m/>
    <n v="42411"/>
  </r>
  <r>
    <x v="13"/>
    <n v="33"/>
    <n v="25"/>
    <n v="43"/>
    <n v="41411"/>
  </r>
  <r>
    <x v="14"/>
    <n v="35"/>
    <m/>
    <m/>
    <n v="41411"/>
  </r>
  <r>
    <x v="15"/>
    <n v="50"/>
    <m/>
    <m/>
    <n v="42811"/>
  </r>
  <r>
    <x v="16"/>
    <n v="5"/>
    <m/>
    <m/>
    <n v="41611"/>
  </r>
  <r>
    <x v="16"/>
    <n v="50"/>
    <m/>
    <m/>
    <n v="41911"/>
  </r>
  <r>
    <x v="16"/>
    <n v="100"/>
    <m/>
    <m/>
    <n v="41411"/>
  </r>
  <r>
    <x v="17"/>
    <n v="7"/>
    <m/>
    <m/>
    <n v="40611"/>
  </r>
  <r>
    <x v="17"/>
    <n v="30"/>
    <m/>
    <m/>
    <n v="41411"/>
  </r>
  <r>
    <x v="18"/>
    <n v="35"/>
    <m/>
    <n v="35"/>
    <n v="41611"/>
  </r>
  <r>
    <x v="19"/>
    <n v="100"/>
    <m/>
    <m/>
    <n v="41611"/>
  </r>
  <r>
    <x v="19"/>
    <n v="120"/>
    <m/>
    <n v="57"/>
    <n v="41911"/>
  </r>
  <r>
    <x v="20"/>
    <n v="70"/>
    <m/>
    <n v="35"/>
    <s v="41611+300"/>
  </r>
  <r>
    <x v="21"/>
    <n v="18"/>
    <m/>
    <m/>
    <s v="41911+300"/>
  </r>
  <r>
    <x v="22"/>
    <n v="35"/>
    <m/>
    <m/>
    <s v="41611+300"/>
  </r>
  <r>
    <x v="23"/>
    <n v="2"/>
    <m/>
    <n v="2"/>
    <s v="41911+300"/>
  </r>
  <r>
    <x v="23"/>
    <n v="35"/>
    <m/>
    <n v="33"/>
    <s v="41411+300"/>
  </r>
  <r>
    <x v="24"/>
    <n v="43"/>
    <m/>
    <m/>
    <n v="41611"/>
  </r>
  <r>
    <x v="25"/>
    <n v="80"/>
    <m/>
    <m/>
    <n v="41911"/>
  </r>
  <r>
    <x v="26"/>
    <n v="33"/>
    <n v="30"/>
    <m/>
    <n v="41911"/>
  </r>
  <r>
    <x v="26"/>
    <n v="160"/>
    <m/>
    <m/>
    <n v="41411"/>
  </r>
  <r>
    <x v="27"/>
    <n v="25"/>
    <m/>
    <m/>
    <n v="41911"/>
  </r>
  <r>
    <x v="28"/>
    <m/>
    <m/>
    <m/>
    <m/>
  </r>
  <r>
    <x v="28"/>
    <m/>
    <m/>
    <m/>
    <m/>
  </r>
  <r>
    <x v="28"/>
    <m/>
    <m/>
    <m/>
    <m/>
  </r>
  <r>
    <x v="28"/>
    <m/>
    <m/>
    <m/>
    <m/>
  </r>
  <r>
    <x v="28"/>
    <m/>
    <m/>
    <m/>
    <m/>
  </r>
  <r>
    <x v="28"/>
    <m/>
    <m/>
    <m/>
    <m/>
  </r>
  <r>
    <x v="28"/>
    <m/>
    <m/>
    <m/>
    <m/>
  </r>
  <r>
    <x v="28"/>
    <m/>
    <m/>
    <m/>
    <m/>
  </r>
  <r>
    <x v="28"/>
    <m/>
    <m/>
    <m/>
    <m/>
  </r>
  <r>
    <x v="28"/>
    <m/>
    <m/>
    <m/>
    <m/>
  </r>
  <r>
    <x v="28"/>
    <m/>
    <m/>
    <m/>
    <m/>
  </r>
  <r>
    <x v="28"/>
    <m/>
    <m/>
    <m/>
    <m/>
  </r>
  <r>
    <x v="28"/>
    <m/>
    <m/>
    <m/>
    <m/>
  </r>
  <r>
    <x v="28"/>
    <m/>
    <m/>
    <m/>
    <m/>
  </r>
  <r>
    <x v="28"/>
    <m/>
    <m/>
    <m/>
    <m/>
  </r>
  <r>
    <x v="28"/>
    <m/>
    <m/>
    <m/>
    <m/>
  </r>
  <r>
    <x v="28"/>
    <m/>
    <m/>
    <m/>
    <m/>
  </r>
  <r>
    <x v="28"/>
    <m/>
    <m/>
    <m/>
    <m/>
  </r>
  <r>
    <x v="28"/>
    <m/>
    <m/>
    <m/>
    <m/>
  </r>
  <r>
    <x v="28"/>
    <m/>
    <m/>
    <m/>
    <m/>
  </r>
  <r>
    <x v="28"/>
    <m/>
    <m/>
    <m/>
    <m/>
  </r>
  <r>
    <x v="28"/>
    <m/>
    <m/>
    <m/>
    <m/>
  </r>
  <r>
    <x v="28"/>
    <m/>
    <m/>
    <m/>
    <m/>
  </r>
  <r>
    <x v="28"/>
    <m/>
    <m/>
    <m/>
    <m/>
  </r>
  <r>
    <x v="28"/>
    <m/>
    <m/>
    <m/>
    <m/>
  </r>
  <r>
    <x v="28"/>
    <m/>
    <m/>
    <m/>
    <m/>
  </r>
  <r>
    <x v="28"/>
    <m/>
    <m/>
    <m/>
    <m/>
  </r>
  <r>
    <x v="28"/>
    <m/>
    <m/>
    <m/>
    <m/>
  </r>
  <r>
    <x v="28"/>
    <m/>
    <m/>
    <m/>
    <m/>
  </r>
  <r>
    <x v="28"/>
    <m/>
    <m/>
    <m/>
    <m/>
  </r>
  <r>
    <x v="28"/>
    <m/>
    <m/>
    <m/>
    <m/>
  </r>
  <r>
    <x v="28"/>
    <m/>
    <m/>
    <m/>
    <m/>
  </r>
  <r>
    <x v="28"/>
    <m/>
    <m/>
    <m/>
    <m/>
  </r>
  <r>
    <x v="28"/>
    <m/>
    <m/>
    <m/>
    <m/>
  </r>
  <r>
    <x v="28"/>
    <m/>
    <m/>
    <m/>
    <m/>
  </r>
  <r>
    <x v="28"/>
    <m/>
    <m/>
    <m/>
    <m/>
  </r>
  <r>
    <x v="28"/>
    <m/>
    <m/>
    <m/>
    <m/>
  </r>
  <r>
    <x v="28"/>
    <m/>
    <m/>
    <m/>
    <m/>
  </r>
  <r>
    <x v="28"/>
    <m/>
    <m/>
    <m/>
    <m/>
  </r>
  <r>
    <x v="28"/>
    <m/>
    <m/>
    <m/>
    <m/>
  </r>
  <r>
    <x v="28"/>
    <m/>
    <m/>
    <m/>
    <m/>
  </r>
  <r>
    <x v="28"/>
    <m/>
    <m/>
    <m/>
    <m/>
  </r>
  <r>
    <x v="28"/>
    <m/>
    <m/>
    <m/>
    <m/>
  </r>
  <r>
    <x v="28"/>
    <m/>
    <m/>
    <m/>
    <m/>
  </r>
  <r>
    <x v="28"/>
    <m/>
    <m/>
    <m/>
    <m/>
  </r>
  <r>
    <x v="28"/>
    <m/>
    <m/>
    <m/>
    <m/>
  </r>
  <r>
    <x v="28"/>
    <m/>
    <m/>
    <m/>
    <m/>
  </r>
  <r>
    <x v="28"/>
    <m/>
    <m/>
    <m/>
    <m/>
  </r>
  <r>
    <x v="28"/>
    <m/>
    <m/>
    <m/>
    <m/>
  </r>
  <r>
    <x v="28"/>
    <m/>
    <m/>
    <m/>
    <m/>
  </r>
  <r>
    <x v="29"/>
    <n v="2970"/>
    <n v="55"/>
    <n v="315"/>
    <s v="Bal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n v="15"/>
    <m/>
    <m/>
    <n v="41611"/>
  </r>
  <r>
    <x v="1"/>
    <n v="15"/>
    <m/>
    <n v="1"/>
    <n v="41411"/>
  </r>
  <r>
    <x v="2"/>
    <n v="14"/>
    <m/>
    <n v="14"/>
    <n v="41911"/>
  </r>
  <r>
    <x v="3"/>
    <n v="10"/>
    <m/>
    <m/>
    <n v="42411"/>
  </r>
  <r>
    <x v="4"/>
    <n v="4"/>
    <m/>
    <m/>
    <n v="40311"/>
  </r>
  <r>
    <x v="4"/>
    <n v="10"/>
    <m/>
    <m/>
    <n v="41911"/>
  </r>
  <r>
    <x v="4"/>
    <n v="10"/>
    <m/>
    <m/>
    <n v="41911"/>
  </r>
  <r>
    <x v="4"/>
    <n v="5"/>
    <m/>
    <m/>
    <n v="41411"/>
  </r>
  <r>
    <x v="5"/>
    <n v="16"/>
    <m/>
    <n v="13"/>
    <n v="41911"/>
  </r>
  <r>
    <x v="5"/>
    <n v="11"/>
    <m/>
    <m/>
    <n v="42411"/>
  </r>
  <r>
    <x v="6"/>
    <n v="4"/>
    <m/>
    <n v="4"/>
    <n v="41911"/>
  </r>
  <r>
    <x v="7"/>
    <n v="5"/>
    <m/>
    <m/>
    <n v="41411"/>
  </r>
  <r>
    <x v="8"/>
    <n v="2"/>
    <m/>
    <m/>
    <n v="41911"/>
  </r>
  <r>
    <x v="9"/>
    <n v="21"/>
    <m/>
    <m/>
    <n v="41611"/>
  </r>
  <r>
    <x v="10"/>
    <n v="5"/>
    <m/>
    <m/>
    <n v="41411"/>
  </r>
  <r>
    <x v="10"/>
    <n v="15"/>
    <m/>
    <m/>
    <n v="41911"/>
  </r>
  <r>
    <x v="11"/>
    <n v="9"/>
    <m/>
    <m/>
    <n v="41611"/>
  </r>
  <r>
    <x v="12"/>
    <n v="273"/>
    <m/>
    <m/>
    <n v="38111"/>
  </r>
  <r>
    <x v="13"/>
    <n v="15"/>
    <m/>
    <m/>
    <n v="42411"/>
  </r>
  <r>
    <x v="14"/>
    <n v="7"/>
    <m/>
    <m/>
    <n v="41611"/>
  </r>
  <r>
    <x v="14"/>
    <n v="15"/>
    <m/>
    <m/>
    <n v="41411"/>
  </r>
  <r>
    <x v="15"/>
    <n v="20"/>
    <m/>
    <m/>
    <n v="41611"/>
  </r>
  <r>
    <x v="16"/>
    <n v="20"/>
    <m/>
    <m/>
    <n v="42411"/>
  </r>
  <r>
    <x v="17"/>
    <n v="5"/>
    <m/>
    <m/>
    <n v="42511"/>
  </r>
  <r>
    <x v="18"/>
    <n v="15"/>
    <m/>
    <m/>
    <n v="43411"/>
  </r>
  <r>
    <x v="19"/>
    <n v="8"/>
    <m/>
    <m/>
    <n v="41411"/>
  </r>
  <r>
    <x v="20"/>
    <n v="30"/>
    <m/>
    <m/>
    <n v="43411"/>
  </r>
  <r>
    <x v="21"/>
    <n v="16"/>
    <m/>
    <m/>
    <n v="42411"/>
  </r>
  <r>
    <x v="22"/>
    <n v="16"/>
    <m/>
    <m/>
    <n v="42411"/>
  </r>
  <r>
    <x v="23"/>
    <n v="30"/>
    <m/>
    <n v="29"/>
    <n v="42411"/>
  </r>
  <r>
    <x v="24"/>
    <n v="1"/>
    <m/>
    <m/>
    <n v="41411"/>
  </r>
  <r>
    <x v="25"/>
    <n v="10"/>
    <m/>
    <m/>
    <n v="41611"/>
  </r>
  <r>
    <x v="26"/>
    <n v="11"/>
    <m/>
    <n v="11"/>
    <n v="43411"/>
  </r>
  <r>
    <x v="27"/>
    <n v="28"/>
    <n v="20"/>
    <n v="8"/>
    <n v="41911"/>
  </r>
  <r>
    <x v="28"/>
    <n v="12"/>
    <n v="12"/>
    <m/>
    <n v="36611"/>
  </r>
  <r>
    <x v="29"/>
    <n v="15"/>
    <m/>
    <m/>
    <n v="40911"/>
  </r>
  <r>
    <x v="30"/>
    <n v="30"/>
    <m/>
    <m/>
    <n v="41611"/>
  </r>
  <r>
    <x v="31"/>
    <n v="30"/>
    <m/>
    <m/>
    <n v="42411"/>
  </r>
  <r>
    <x v="32"/>
    <n v="10"/>
    <m/>
    <m/>
    <n v="42411"/>
  </r>
  <r>
    <x v="33"/>
    <n v="20"/>
    <m/>
    <m/>
    <n v="41611"/>
  </r>
  <r>
    <x v="34"/>
    <n v="10"/>
    <m/>
    <m/>
    <n v="41911"/>
  </r>
  <r>
    <x v="35"/>
    <n v="20"/>
    <m/>
    <m/>
    <n v="42411"/>
  </r>
  <r>
    <x v="36"/>
    <n v="10"/>
    <m/>
    <m/>
    <n v="41611"/>
  </r>
  <r>
    <x v="37"/>
    <n v="111"/>
    <m/>
    <m/>
    <n v="41911"/>
  </r>
  <r>
    <x v="38"/>
    <n v="2"/>
    <m/>
    <m/>
    <n v="40311"/>
  </r>
  <r>
    <x v="39"/>
    <n v="25"/>
    <m/>
    <m/>
    <n v="41611"/>
  </r>
  <r>
    <x v="40"/>
    <n v="25"/>
    <m/>
    <m/>
    <n v="40911"/>
  </r>
  <r>
    <x v="41"/>
    <n v="50"/>
    <m/>
    <m/>
    <n v="41611"/>
  </r>
  <r>
    <x v="42"/>
    <n v="11"/>
    <m/>
    <m/>
    <n v="41411"/>
  </r>
  <r>
    <x v="43"/>
    <n v="25"/>
    <m/>
    <m/>
    <n v="42811"/>
  </r>
  <r>
    <x v="44"/>
    <n v="34"/>
    <m/>
    <m/>
    <n v="42811"/>
  </r>
  <r>
    <x v="45"/>
    <n v="3"/>
    <m/>
    <m/>
    <n v="42411"/>
  </r>
  <r>
    <x v="46"/>
    <n v="75"/>
    <m/>
    <m/>
    <n v="41611"/>
  </r>
  <r>
    <x v="47"/>
    <n v="7"/>
    <m/>
    <n v="5"/>
    <n v="40611"/>
  </r>
  <r>
    <x v="47"/>
    <n v="75"/>
    <m/>
    <m/>
    <n v="41911"/>
  </r>
  <r>
    <x v="48"/>
    <n v="90"/>
    <m/>
    <m/>
    <n v="41911"/>
  </r>
  <r>
    <x v="49"/>
    <n v="7"/>
    <m/>
    <m/>
    <n v="41611"/>
  </r>
  <r>
    <x v="50"/>
    <n v="15"/>
    <m/>
    <m/>
    <n v="39311"/>
  </r>
  <r>
    <x v="51"/>
    <n v="20"/>
    <m/>
    <m/>
    <n v="41611"/>
  </r>
  <r>
    <x v="52"/>
    <n v="15"/>
    <m/>
    <n v="15"/>
    <n v="41911"/>
  </r>
  <r>
    <x v="53"/>
    <n v="10"/>
    <m/>
    <m/>
    <n v="42411"/>
  </r>
  <r>
    <x v="54"/>
    <n v="26"/>
    <m/>
    <m/>
    <n v="42411"/>
  </r>
  <r>
    <x v="55"/>
    <n v="26"/>
    <m/>
    <m/>
    <n v="41611"/>
  </r>
  <r>
    <x v="56"/>
    <n v="71"/>
    <m/>
    <m/>
    <n v="41611"/>
  </r>
  <r>
    <x v="57"/>
    <n v="41"/>
    <n v="20"/>
    <m/>
    <n v="42411"/>
  </r>
  <r>
    <x v="58"/>
    <n v="71"/>
    <m/>
    <n v="25"/>
    <n v="41611"/>
  </r>
  <r>
    <x v="58"/>
    <n v="71"/>
    <m/>
    <m/>
    <n v="41911"/>
  </r>
  <r>
    <x v="59"/>
    <m/>
    <m/>
    <m/>
    <m/>
  </r>
  <r>
    <x v="59"/>
    <m/>
    <m/>
    <m/>
    <m/>
  </r>
  <r>
    <x v="59"/>
    <m/>
    <m/>
    <m/>
    <m/>
  </r>
  <r>
    <x v="59"/>
    <m/>
    <m/>
    <m/>
    <m/>
  </r>
  <r>
    <x v="59"/>
    <m/>
    <m/>
    <m/>
    <m/>
  </r>
  <r>
    <x v="59"/>
    <m/>
    <m/>
    <m/>
    <m/>
  </r>
  <r>
    <x v="59"/>
    <m/>
    <m/>
    <m/>
    <m/>
  </r>
  <r>
    <x v="59"/>
    <m/>
    <m/>
    <m/>
    <m/>
  </r>
  <r>
    <x v="59"/>
    <m/>
    <m/>
    <m/>
    <m/>
  </r>
  <r>
    <x v="59"/>
    <m/>
    <m/>
    <m/>
    <m/>
  </r>
  <r>
    <x v="59"/>
    <m/>
    <m/>
    <m/>
    <m/>
  </r>
  <r>
    <x v="59"/>
    <m/>
    <m/>
    <m/>
    <m/>
  </r>
  <r>
    <x v="59"/>
    <m/>
    <m/>
    <m/>
    <m/>
  </r>
  <r>
    <x v="59"/>
    <m/>
    <m/>
    <m/>
    <m/>
  </r>
  <r>
    <x v="59"/>
    <m/>
    <m/>
    <m/>
    <m/>
  </r>
  <r>
    <x v="59"/>
    <m/>
    <m/>
    <m/>
    <m/>
  </r>
  <r>
    <x v="59"/>
    <m/>
    <m/>
    <m/>
    <m/>
  </r>
  <r>
    <x v="59"/>
    <m/>
    <m/>
    <m/>
    <m/>
  </r>
  <r>
    <x v="59"/>
    <m/>
    <m/>
    <m/>
    <m/>
  </r>
  <r>
    <x v="59"/>
    <m/>
    <m/>
    <m/>
    <m/>
  </r>
  <r>
    <x v="59"/>
    <m/>
    <m/>
    <m/>
    <m/>
  </r>
  <r>
    <x v="59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PivotTable1" cacheId="0" applyNumberFormats="0" applyBorderFormats="0" applyFontFormats="0" applyPatternFormats="0" applyAlignmentFormats="0" applyWidthHeightFormats="1" dataCaption="Values" updatedVersion="8" minRefreshableVersion="3" useAutoFormatting="1" createdVersion="4" indent="0" outline="1" outlineData="1" multipleFieldFilters="0">
  <location ref="A3:C32" firstHeaderRow="0" firstDataRow="1" firstDataCol="1"/>
  <pivotFields count="5">
    <pivotField axis="axisRow" showAll="0" sortType="ascending">
      <items count="215">
        <item m="1" x="159"/>
        <item x="1"/>
        <item m="1" x="97"/>
        <item m="1" x="30"/>
        <item m="1" x="39"/>
        <item m="1" x="35"/>
        <item m="1" x="36"/>
        <item x="0"/>
        <item m="1" x="123"/>
        <item m="1" x="98"/>
        <item m="1" x="168"/>
        <item m="1" x="170"/>
        <item m="1" x="186"/>
        <item m="1" x="188"/>
        <item m="1" x="68"/>
        <item m="1" x="193"/>
        <item m="1" x="115"/>
        <item m="1" x="203"/>
        <item m="1" x="37"/>
        <item m="1" x="38"/>
        <item m="1" x="201"/>
        <item m="1" x="187"/>
        <item x="2"/>
        <item m="1" x="200"/>
        <item m="1" x="63"/>
        <item m="1" x="160"/>
        <item m="1" x="161"/>
        <item m="1" x="194"/>
        <item x="3"/>
        <item m="1" x="69"/>
        <item x="4"/>
        <item x="5"/>
        <item m="1" x="102"/>
        <item m="1" x="34"/>
        <item m="1" x="67"/>
        <item m="1" x="70"/>
        <item m="1" x="196"/>
        <item x="6"/>
        <item m="1" x="139"/>
        <item m="1" x="83"/>
        <item m="1" x="71"/>
        <item m="1" x="132"/>
        <item x="7"/>
        <item m="1" x="112"/>
        <item m="1" x="114"/>
        <item m="1" x="49"/>
        <item m="1" x="175"/>
        <item m="1" x="84"/>
        <item x="8"/>
        <item m="1" x="55"/>
        <item m="1" x="192"/>
        <item m="1" x="103"/>
        <item m="1" x="154"/>
        <item m="1" x="144"/>
        <item m="1" x="85"/>
        <item m="1" x="208"/>
        <item m="1" x="56"/>
        <item m="1" x="72"/>
        <item x="9"/>
        <item x="10"/>
        <item m="1" x="40"/>
        <item m="1" x="199"/>
        <item m="1" x="124"/>
        <item m="1" x="205"/>
        <item m="1" x="180"/>
        <item m="1" x="181"/>
        <item m="1" x="105"/>
        <item m="1" x="146"/>
        <item m="1" x="152"/>
        <item m="1" x="153"/>
        <item m="1" x="140"/>
        <item m="1" x="119"/>
        <item m="1" x="136"/>
        <item m="1" x="137"/>
        <item m="1" x="110"/>
        <item m="1" x="210"/>
        <item m="1" x="86"/>
        <item m="1" x="64"/>
        <item m="1" x="177"/>
        <item m="1" x="204"/>
        <item m="1" x="178"/>
        <item m="1" x="87"/>
        <item m="1" x="73"/>
        <item m="1" x="41"/>
        <item x="11"/>
        <item m="1" x="59"/>
        <item m="1" x="74"/>
        <item m="1" x="104"/>
        <item m="1" x="58"/>
        <item m="1" x="207"/>
        <item m="1" x="209"/>
        <item m="1" x="157"/>
        <item m="1" x="75"/>
        <item x="12"/>
        <item m="1" x="51"/>
        <item x="13"/>
        <item m="1" x="88"/>
        <item m="1" x="151"/>
        <item m="1" x="169"/>
        <item m="1" x="89"/>
        <item m="1" x="129"/>
        <item m="1" x="130"/>
        <item x="14"/>
        <item m="1" x="42"/>
        <item m="1" x="43"/>
        <item m="1" x="76"/>
        <item x="15"/>
        <item m="1" x="44"/>
        <item x="16"/>
        <item m="1" x="50"/>
        <item m="1" x="183"/>
        <item m="1" x="90"/>
        <item m="1" x="191"/>
        <item m="1" x="52"/>
        <item x="17"/>
        <item m="1" x="195"/>
        <item m="1" x="77"/>
        <item m="1" x="60"/>
        <item m="1" x="45"/>
        <item m="1" x="206"/>
        <item m="1" x="121"/>
        <item m="1" x="122"/>
        <item m="1" x="171"/>
        <item m="1" x="172"/>
        <item m="1" x="91"/>
        <item x="18"/>
        <item m="1" x="65"/>
        <item m="1" x="33"/>
        <item m="1" x="46"/>
        <item m="1" x="127"/>
        <item m="1" x="78"/>
        <item h="1" x="29"/>
        <item m="1" x="79"/>
        <item x="19"/>
        <item m="1" x="117"/>
        <item m="1" x="92"/>
        <item m="1" x="150"/>
        <item m="1" x="184"/>
        <item m="1" x="53"/>
        <item m="1" x="141"/>
        <item m="1" x="135"/>
        <item m="1" x="162"/>
        <item m="1" x="212"/>
        <item m="1" x="80"/>
        <item m="1" x="100"/>
        <item m="1" x="106"/>
        <item m="1" x="113"/>
        <item m="1" x="158"/>
        <item m="1" x="213"/>
        <item m="1" x="143"/>
        <item m="1" x="111"/>
        <item m="1" x="118"/>
        <item m="1" x="81"/>
        <item x="20"/>
        <item m="1" x="47"/>
        <item m="1" x="54"/>
        <item m="1" x="156"/>
        <item m="1" x="57"/>
        <item m="1" x="179"/>
        <item m="1" x="125"/>
        <item m="1" x="107"/>
        <item m="1" x="116"/>
        <item m="1" x="145"/>
        <item m="1" x="197"/>
        <item m="1" x="93"/>
        <item m="1" x="174"/>
        <item m="1" x="173"/>
        <item m="1" x="134"/>
        <item m="1" x="148"/>
        <item m="1" x="166"/>
        <item m="1" x="99"/>
        <item m="1" x="142"/>
        <item m="1" x="66"/>
        <item m="1" x="101"/>
        <item x="21"/>
        <item m="1" x="202"/>
        <item m="1" x="147"/>
        <item m="1" x="149"/>
        <item m="1" x="94"/>
        <item m="1" x="31"/>
        <item m="1" x="32"/>
        <item m="1" x="108"/>
        <item m="1" x="109"/>
        <item m="1" x="138"/>
        <item m="1" x="128"/>
        <item m="1" x="163"/>
        <item m="1" x="164"/>
        <item m="1" x="133"/>
        <item m="1" x="82"/>
        <item x="22"/>
        <item m="1" x="48"/>
        <item x="23"/>
        <item m="1" x="165"/>
        <item m="1" x="211"/>
        <item m="1" x="95"/>
        <item m="1" x="190"/>
        <item m="1" x="96"/>
        <item m="1" x="131"/>
        <item m="1" x="189"/>
        <item m="1" x="126"/>
        <item m="1" x="176"/>
        <item m="1" x="120"/>
        <item m="1" x="185"/>
        <item m="1" x="155"/>
        <item x="24"/>
        <item x="25"/>
        <item m="1" x="61"/>
        <item x="26"/>
        <item m="1" x="182"/>
        <item m="1" x="198"/>
        <item x="27"/>
        <item m="1" x="167"/>
        <item m="1" x="62"/>
        <item h="1" x="28"/>
        <item t="default"/>
      </items>
    </pivotField>
    <pivotField dataField="1" showAll="0"/>
    <pivotField showAll="0"/>
    <pivotField showAll="0"/>
    <pivotField dataField="1" showAll="0"/>
  </pivotFields>
  <rowFields count="1">
    <field x="0"/>
  </rowFields>
  <rowItems count="29">
    <i>
      <x v="1"/>
    </i>
    <i>
      <x v="7"/>
    </i>
    <i>
      <x v="22"/>
    </i>
    <i>
      <x v="28"/>
    </i>
    <i>
      <x v="30"/>
    </i>
    <i>
      <x v="31"/>
    </i>
    <i>
      <x v="37"/>
    </i>
    <i>
      <x v="42"/>
    </i>
    <i>
      <x v="48"/>
    </i>
    <i>
      <x v="58"/>
    </i>
    <i>
      <x v="59"/>
    </i>
    <i>
      <x v="84"/>
    </i>
    <i>
      <x v="93"/>
    </i>
    <i>
      <x v="95"/>
    </i>
    <i>
      <x v="102"/>
    </i>
    <i>
      <x v="106"/>
    </i>
    <i>
      <x v="108"/>
    </i>
    <i>
      <x v="114"/>
    </i>
    <i>
      <x v="125"/>
    </i>
    <i>
      <x v="133"/>
    </i>
    <i>
      <x v="153"/>
    </i>
    <i>
      <x v="174"/>
    </i>
    <i>
      <x v="189"/>
    </i>
    <i>
      <x v="191"/>
    </i>
    <i>
      <x v="204"/>
    </i>
    <i>
      <x v="205"/>
    </i>
    <i>
      <x v="207"/>
    </i>
    <i>
      <x v="2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Wt" fld="1" baseField="0" baseItem="10"/>
    <dataField name="Average of Rate" fld="4" subtotal="average" baseField="0" baseItem="45" numFmtId="1"/>
  </dataFields>
  <formats count="1">
    <format dxfId="1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1000000}" name="PivotTable2" cacheId="1" applyNumberFormats="0" applyBorderFormats="0" applyFontFormats="0" applyPatternFormats="0" applyAlignmentFormats="0" applyWidthHeightFormats="1" dataCaption="Values" updatedVersion="8" minRefreshableVersion="3" useAutoFormatting="1" createdVersion="4" indent="0" outline="1" outlineData="1" multipleFieldFilters="0">
  <location ref="A3:C64" firstHeaderRow="0" firstDataRow="1" firstDataCol="1"/>
  <pivotFields count="5">
    <pivotField axis="axisRow" showAll="0" sortType="ascending">
      <items count="297">
        <item m="1" x="222"/>
        <item m="1" x="202"/>
        <item m="1" x="189"/>
        <item x="0"/>
        <item x="1"/>
        <item x="2"/>
        <item m="1" x="290"/>
        <item m="1" x="197"/>
        <item m="1" x="110"/>
        <item m="1" x="185"/>
        <item m="1" x="151"/>
        <item m="1" x="152"/>
        <item m="1" x="254"/>
        <item m="1" x="285"/>
        <item m="1" x="60"/>
        <item m="1" x="223"/>
        <item m="1" x="247"/>
        <item m="1" x="120"/>
        <item m="1" x="244"/>
        <item x="3"/>
        <item m="1" x="121"/>
        <item m="1" x="153"/>
        <item m="1" x="113"/>
        <item m="1" x="100"/>
        <item x="4"/>
        <item m="1" x="295"/>
        <item x="5"/>
        <item m="1" x="76"/>
        <item x="6"/>
        <item m="1" x="215"/>
        <item m="1" x="225"/>
        <item m="1" x="107"/>
        <item m="1" x="234"/>
        <item m="1" x="159"/>
        <item x="7"/>
        <item m="1" x="172"/>
        <item m="1" x="122"/>
        <item m="1" x="123"/>
        <item x="8"/>
        <item m="1" x="198"/>
        <item x="9"/>
        <item x="10"/>
        <item x="11"/>
        <item m="1" x="255"/>
        <item x="12"/>
        <item m="1" x="124"/>
        <item m="1" x="220"/>
        <item m="1" x="183"/>
        <item m="1" x="231"/>
        <item x="13"/>
        <item m="1" x="77"/>
        <item x="14"/>
        <item m="1" x="270"/>
        <item m="1" x="173"/>
        <item m="1" x="269"/>
        <item x="15"/>
        <item m="1" x="125"/>
        <item m="1" x="93"/>
        <item m="1" x="204"/>
        <item x="16"/>
        <item x="17"/>
        <item m="1" x="226"/>
        <item m="1" x="126"/>
        <item m="1" x="218"/>
        <item m="1" x="219"/>
        <item m="1" x="101"/>
        <item m="1" x="271"/>
        <item x="18"/>
        <item x="19"/>
        <item m="1" x="176"/>
        <item m="1" x="70"/>
        <item m="1" x="145"/>
        <item m="1" x="217"/>
        <item x="20"/>
        <item x="21"/>
        <item m="1" x="265"/>
        <item m="1" x="241"/>
        <item m="1" x="227"/>
        <item m="1" x="246"/>
        <item m="1" x="102"/>
        <item m="1" x="256"/>
        <item m="1" x="286"/>
        <item m="1" x="175"/>
        <item m="1" x="127"/>
        <item m="1" x="212"/>
        <item x="22"/>
        <item m="1" x="71"/>
        <item m="1" x="177"/>
        <item m="1" x="216"/>
        <item m="1" x="258"/>
        <item m="1" x="146"/>
        <item m="1" x="161"/>
        <item m="1" x="147"/>
        <item m="1" x="78"/>
        <item m="1" x="171"/>
        <item x="23"/>
        <item x="24"/>
        <item m="1" x="79"/>
        <item x="25"/>
        <item m="1" x="193"/>
        <item m="1" x="276"/>
        <item m="1" x="278"/>
        <item m="1" x="61"/>
        <item m="1" x="207"/>
        <item m="1" x="208"/>
        <item m="1" x="62"/>
        <item m="1" x="154"/>
        <item m="1" x="289"/>
        <item x="26"/>
        <item m="1" x="128"/>
        <item m="1" x="201"/>
        <item m="1" x="129"/>
        <item m="1" x="130"/>
        <item x="27"/>
        <item m="1" x="170"/>
        <item m="1" x="155"/>
        <item m="1" x="277"/>
        <item m="1" x="160"/>
        <item x="28"/>
        <item x="29"/>
        <item m="1" x="80"/>
        <item m="1" x="148"/>
        <item m="1" x="149"/>
        <item m="1" x="81"/>
        <item m="1" x="82"/>
        <item m="1" x="240"/>
        <item m="1" x="242"/>
        <item m="1" x="221"/>
        <item m="1" x="63"/>
        <item m="1" x="103"/>
        <item m="1" x="114"/>
        <item m="1" x="181"/>
        <item m="1" x="156"/>
        <item m="1" x="184"/>
        <item m="1" x="83"/>
        <item m="1" x="182"/>
        <item x="30"/>
        <item m="1" x="266"/>
        <item m="1" x="268"/>
        <item m="1" x="84"/>
        <item m="1" x="203"/>
        <item m="1" x="131"/>
        <item m="1" x="85"/>
        <item m="1" x="260"/>
        <item m="1" x="132"/>
        <item x="31"/>
        <item m="1" x="86"/>
        <item m="1" x="64"/>
        <item m="1" x="162"/>
        <item m="1" x="263"/>
        <item m="1" x="264"/>
        <item m="1" x="243"/>
        <item m="1" x="190"/>
        <item m="1" x="87"/>
        <item m="1" x="188"/>
        <item m="1" x="133"/>
        <item x="32"/>
        <item m="1" x="291"/>
        <item x="33"/>
        <item m="1" x="88"/>
        <item x="34"/>
        <item m="1" x="115"/>
        <item m="1" x="245"/>
        <item m="1" x="229"/>
        <item m="1" x="134"/>
        <item m="1" x="252"/>
        <item m="1" x="111"/>
        <item m="1" x="275"/>
        <item m="1" x="179"/>
        <item m="1" x="180"/>
        <item m="1" x="166"/>
        <item m="1" x="251"/>
        <item m="1" x="213"/>
        <item m="1" x="72"/>
        <item m="1" x="237"/>
        <item x="35"/>
        <item m="1" x="65"/>
        <item m="1" x="262"/>
        <item m="1" x="196"/>
        <item m="1" x="228"/>
        <item m="1" x="288"/>
        <item m="1" x="108"/>
        <item m="1" x="279"/>
        <item m="1" x="287"/>
        <item x="36"/>
        <item m="1" x="94"/>
        <item x="37"/>
        <item m="1" x="104"/>
        <item x="38"/>
        <item m="1" x="224"/>
        <item x="39"/>
        <item x="40"/>
        <item m="1" x="95"/>
        <item m="1" x="135"/>
        <item m="1" x="73"/>
        <item m="1" x="261"/>
        <item m="1" x="214"/>
        <item m="1" x="248"/>
        <item m="1" x="105"/>
        <item m="1" x="250"/>
        <item m="1" x="136"/>
        <item m="1" x="294"/>
        <item m="1" x="112"/>
        <item m="1" x="168"/>
        <item m="1" x="194"/>
        <item x="41"/>
        <item m="1" x="137"/>
        <item m="1" x="96"/>
        <item m="1" x="66"/>
        <item m="1" x="230"/>
        <item x="42"/>
        <item m="1" x="163"/>
        <item m="1" x="164"/>
        <item m="1" x="280"/>
        <item m="1" x="281"/>
        <item x="43"/>
        <item m="1" x="272"/>
        <item m="1" x="274"/>
        <item m="1" x="167"/>
        <item m="1" x="209"/>
        <item m="1" x="267"/>
        <item m="1" x="249"/>
        <item m="1" x="116"/>
        <item x="44"/>
        <item x="45"/>
        <item m="1" x="165"/>
        <item m="1" x="67"/>
        <item m="1" x="89"/>
        <item m="1" x="284"/>
        <item x="46"/>
        <item x="47"/>
        <item m="1" x="239"/>
        <item x="48"/>
        <item m="1" x="97"/>
        <item m="1" x="90"/>
        <item m="1" x="236"/>
        <item x="49"/>
        <item m="1" x="91"/>
        <item m="1" x="68"/>
        <item m="1" x="138"/>
        <item m="1" x="169"/>
        <item m="1" x="139"/>
        <item x="50"/>
        <item m="1" x="140"/>
        <item m="1" x="158"/>
        <item m="1" x="205"/>
        <item m="1" x="233"/>
        <item m="1" x="235"/>
        <item m="1" x="195"/>
        <item m="1" x="174"/>
        <item m="1" x="141"/>
        <item m="1" x="257"/>
        <item m="1" x="186"/>
        <item m="1" x="206"/>
        <item x="51"/>
        <item m="1" x="106"/>
        <item m="1" x="74"/>
        <item m="1" x="192"/>
        <item m="1" x="142"/>
        <item m="1" x="98"/>
        <item x="52"/>
        <item m="1" x="150"/>
        <item x="53"/>
        <item m="1" x="75"/>
        <item m="1" x="157"/>
        <item m="1" x="199"/>
        <item m="1" x="200"/>
        <item m="1" x="118"/>
        <item m="1" x="238"/>
        <item m="1" x="143"/>
        <item m="1" x="109"/>
        <item x="54"/>
        <item m="1" x="282"/>
        <item m="1" x="283"/>
        <item m="1" x="191"/>
        <item m="1" x="259"/>
        <item m="1" x="273"/>
        <item m="1" x="144"/>
        <item x="55"/>
        <item m="1" x="119"/>
        <item m="1" x="178"/>
        <item m="1" x="293"/>
        <item m="1" x="253"/>
        <item m="1" x="187"/>
        <item m="1" x="99"/>
        <item m="1" x="92"/>
        <item m="1" x="292"/>
        <item m="1" x="232"/>
        <item m="1" x="117"/>
        <item m="1" x="210"/>
        <item m="1" x="211"/>
        <item x="56"/>
        <item x="57"/>
        <item m="1" x="69"/>
        <item x="58"/>
        <item x="59"/>
        <item t="default"/>
      </items>
    </pivotField>
    <pivotField dataField="1" showAll="0"/>
    <pivotField showAll="0"/>
    <pivotField showAll="0"/>
    <pivotField dataField="1" showAll="0"/>
  </pivotFields>
  <rowFields count="1">
    <field x="0"/>
  </rowFields>
  <rowItems count="61">
    <i>
      <x v="3"/>
    </i>
    <i>
      <x v="4"/>
    </i>
    <i>
      <x v="5"/>
    </i>
    <i>
      <x v="19"/>
    </i>
    <i>
      <x v="24"/>
    </i>
    <i>
      <x v="26"/>
    </i>
    <i>
      <x v="28"/>
    </i>
    <i>
      <x v="34"/>
    </i>
    <i>
      <x v="38"/>
    </i>
    <i>
      <x v="40"/>
    </i>
    <i>
      <x v="41"/>
    </i>
    <i>
      <x v="42"/>
    </i>
    <i>
      <x v="44"/>
    </i>
    <i>
      <x v="49"/>
    </i>
    <i>
      <x v="51"/>
    </i>
    <i>
      <x v="55"/>
    </i>
    <i>
      <x v="59"/>
    </i>
    <i>
      <x v="60"/>
    </i>
    <i>
      <x v="67"/>
    </i>
    <i>
      <x v="68"/>
    </i>
    <i>
      <x v="73"/>
    </i>
    <i>
      <x v="74"/>
    </i>
    <i>
      <x v="85"/>
    </i>
    <i>
      <x v="95"/>
    </i>
    <i>
      <x v="96"/>
    </i>
    <i>
      <x v="98"/>
    </i>
    <i>
      <x v="108"/>
    </i>
    <i>
      <x v="113"/>
    </i>
    <i>
      <x v="118"/>
    </i>
    <i>
      <x v="119"/>
    </i>
    <i>
      <x v="136"/>
    </i>
    <i>
      <x v="145"/>
    </i>
    <i>
      <x v="156"/>
    </i>
    <i>
      <x v="158"/>
    </i>
    <i>
      <x v="160"/>
    </i>
    <i>
      <x v="175"/>
    </i>
    <i>
      <x v="184"/>
    </i>
    <i>
      <x v="186"/>
    </i>
    <i>
      <x v="188"/>
    </i>
    <i>
      <x v="190"/>
    </i>
    <i>
      <x v="191"/>
    </i>
    <i>
      <x v="205"/>
    </i>
    <i>
      <x v="210"/>
    </i>
    <i>
      <x v="215"/>
    </i>
    <i>
      <x v="223"/>
    </i>
    <i>
      <x v="224"/>
    </i>
    <i>
      <x v="229"/>
    </i>
    <i>
      <x v="230"/>
    </i>
    <i>
      <x v="232"/>
    </i>
    <i>
      <x v="236"/>
    </i>
    <i>
      <x v="242"/>
    </i>
    <i>
      <x v="254"/>
    </i>
    <i>
      <x v="260"/>
    </i>
    <i>
      <x v="262"/>
    </i>
    <i>
      <x v="271"/>
    </i>
    <i>
      <x v="278"/>
    </i>
    <i>
      <x v="291"/>
    </i>
    <i>
      <x v="292"/>
    </i>
    <i>
      <x v="294"/>
    </i>
    <i>
      <x v="29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Wt" fld="1" baseField="0" baseItem="0"/>
    <dataField name="Average of Rate" fld="4" subtotal="average" baseField="0" baseItem="0" numFmtId="1"/>
  </dataFields>
  <formats count="1">
    <format dxfId="0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2"/>
  <sheetViews>
    <sheetView zoomScaleNormal="100" workbookViewId="0">
      <selection activeCell="A2" sqref="A2"/>
    </sheetView>
  </sheetViews>
  <sheetFormatPr defaultColWidth="9.140625" defaultRowHeight="15"/>
  <cols>
    <col min="1" max="1" width="8.28515625" style="147" customWidth="1"/>
    <col min="2" max="2" width="7.140625" style="148" customWidth="1"/>
    <col min="3" max="3" width="9" style="148" customWidth="1"/>
    <col min="4" max="4" width="14.85546875" style="148" bestFit="1" customWidth="1"/>
    <col min="5" max="5" width="12.85546875" style="148" customWidth="1"/>
    <col min="6" max="6" width="9.7109375" style="148" customWidth="1"/>
    <col min="7" max="7" width="13" style="148" customWidth="1"/>
    <col min="8" max="8" width="22" style="148" customWidth="1"/>
    <col min="9" max="9" width="5.85546875" style="148" customWidth="1"/>
    <col min="10" max="10" width="5.42578125" style="148" customWidth="1"/>
    <col min="11" max="11" width="5.28515625" style="148" customWidth="1"/>
    <col min="12" max="12" width="11.85546875" style="148" customWidth="1"/>
    <col min="13" max="13" width="9.7109375" style="147" customWidth="1"/>
    <col min="14" max="14" width="6.140625" style="148" customWidth="1"/>
    <col min="15" max="15" width="22.28515625" style="148" bestFit="1" customWidth="1"/>
    <col min="16" max="16" width="5.42578125" style="148" customWidth="1"/>
    <col min="17" max="17" width="4.5703125" style="148" customWidth="1"/>
    <col min="18" max="18" width="4.85546875" style="148" customWidth="1"/>
    <col min="19" max="19" width="11.7109375" style="148" customWidth="1"/>
    <col min="20" max="20" width="8.28515625" style="148" customWidth="1"/>
    <col min="21" max="21" width="6.42578125" style="148" customWidth="1"/>
    <col min="22" max="22" width="22.5703125" style="148" bestFit="1" customWidth="1"/>
    <col min="23" max="23" width="5" style="148" customWidth="1"/>
    <col min="24" max="25" width="5.28515625" style="148" customWidth="1"/>
    <col min="26" max="26" width="10.28515625" style="148" customWidth="1"/>
    <col min="27" max="27" width="8.140625" style="148" customWidth="1"/>
    <col min="28" max="28" width="5.7109375" style="148" customWidth="1"/>
    <col min="29" max="16384" width="9.140625" style="148"/>
  </cols>
  <sheetData>
    <row r="1" spans="1:28">
      <c r="A1" s="147" t="s">
        <v>50</v>
      </c>
      <c r="B1" s="276" t="s">
        <v>237</v>
      </c>
      <c r="D1" s="148" t="s">
        <v>242</v>
      </c>
      <c r="H1" s="148" t="s">
        <v>238</v>
      </c>
      <c r="I1" s="148" t="s">
        <v>240</v>
      </c>
      <c r="L1" s="148" t="s">
        <v>241</v>
      </c>
      <c r="O1" s="148" t="s">
        <v>239</v>
      </c>
      <c r="S1" s="148" t="s">
        <v>241</v>
      </c>
      <c r="V1" s="148" t="s">
        <v>243</v>
      </c>
    </row>
    <row r="2" spans="1:28" ht="22.5" customHeight="1">
      <c r="A2" s="149" t="s">
        <v>6</v>
      </c>
      <c r="B2" s="150" t="s">
        <v>0</v>
      </c>
      <c r="C2" s="150" t="s">
        <v>1</v>
      </c>
      <c r="D2" s="150"/>
      <c r="E2" s="150"/>
      <c r="F2" s="150"/>
      <c r="G2" s="150"/>
      <c r="H2" s="151" t="s">
        <v>2</v>
      </c>
      <c r="I2" s="151" t="s">
        <v>3</v>
      </c>
      <c r="J2" s="151" t="s">
        <v>4</v>
      </c>
      <c r="K2" s="151" t="s">
        <v>5</v>
      </c>
      <c r="L2" s="151" t="s">
        <v>1</v>
      </c>
      <c r="M2" s="172" t="s">
        <v>6</v>
      </c>
      <c r="N2" s="151" t="s">
        <v>7</v>
      </c>
      <c r="O2" s="173" t="s">
        <v>2</v>
      </c>
      <c r="P2" s="173" t="s">
        <v>3</v>
      </c>
      <c r="Q2" s="173" t="s">
        <v>4</v>
      </c>
      <c r="R2" s="173" t="s">
        <v>5</v>
      </c>
      <c r="S2" s="173" t="s">
        <v>1</v>
      </c>
      <c r="T2" s="173" t="s">
        <v>6</v>
      </c>
      <c r="U2" s="173" t="s">
        <v>7</v>
      </c>
      <c r="V2" s="180" t="s">
        <v>2</v>
      </c>
      <c r="W2" s="180" t="s">
        <v>3</v>
      </c>
      <c r="X2" s="180" t="s">
        <v>4</v>
      </c>
      <c r="Y2" s="180" t="s">
        <v>5</v>
      </c>
      <c r="Z2" s="180" t="s">
        <v>1</v>
      </c>
      <c r="AA2" s="180" t="s">
        <v>6</v>
      </c>
      <c r="AB2" s="180" t="s">
        <v>7</v>
      </c>
    </row>
    <row r="3" spans="1:28">
      <c r="A3" s="152">
        <v>46035</v>
      </c>
      <c r="B3" s="153">
        <v>72</v>
      </c>
      <c r="C3" s="153">
        <v>38111</v>
      </c>
      <c r="D3" s="74"/>
      <c r="E3" s="74"/>
      <c r="F3" s="74"/>
      <c r="G3" s="74"/>
      <c r="H3" s="154" t="s">
        <v>8</v>
      </c>
      <c r="I3" s="171">
        <v>111</v>
      </c>
      <c r="J3" s="171"/>
      <c r="K3" s="171"/>
      <c r="L3" s="174">
        <v>41411</v>
      </c>
      <c r="M3" s="175">
        <v>45846</v>
      </c>
      <c r="N3" s="176"/>
      <c r="O3" s="222" t="s">
        <v>95</v>
      </c>
      <c r="P3" s="222">
        <v>14</v>
      </c>
      <c r="Q3" s="222"/>
      <c r="R3" s="222"/>
      <c r="S3" s="181">
        <v>41611</v>
      </c>
      <c r="T3" s="182">
        <v>46056</v>
      </c>
      <c r="U3" s="183"/>
      <c r="V3" s="1"/>
      <c r="W3" s="1"/>
      <c r="X3" s="1"/>
      <c r="Y3" s="1"/>
      <c r="Z3" s="184"/>
      <c r="AA3" s="185"/>
      <c r="AB3" s="202"/>
    </row>
    <row r="4" spans="1:28">
      <c r="A4" s="232"/>
      <c r="B4" s="233"/>
      <c r="C4" s="233"/>
      <c r="D4" s="74"/>
      <c r="E4" s="74"/>
      <c r="F4" s="74"/>
      <c r="G4" s="138"/>
      <c r="H4" s="240" t="s">
        <v>215</v>
      </c>
      <c r="I4" s="240">
        <v>33</v>
      </c>
      <c r="J4" s="240"/>
      <c r="K4" s="240"/>
      <c r="L4" s="273">
        <v>42411</v>
      </c>
      <c r="M4" s="274">
        <v>46059</v>
      </c>
      <c r="N4" s="176"/>
      <c r="O4" s="222" t="s">
        <v>221</v>
      </c>
      <c r="P4" s="223">
        <v>15</v>
      </c>
      <c r="Q4" s="222"/>
      <c r="R4" s="222"/>
      <c r="S4" s="181">
        <v>43411</v>
      </c>
      <c r="T4" s="182">
        <v>46062</v>
      </c>
      <c r="U4" s="183"/>
      <c r="V4" s="1"/>
      <c r="W4" s="1"/>
      <c r="X4" s="1"/>
      <c r="Y4" s="1"/>
      <c r="Z4" s="184"/>
      <c r="AA4" s="185"/>
      <c r="AB4" s="1"/>
    </row>
    <row r="5" spans="1:28">
      <c r="A5" s="152">
        <v>46056</v>
      </c>
      <c r="B5" s="153">
        <v>642</v>
      </c>
      <c r="C5" s="153">
        <v>41611</v>
      </c>
      <c r="D5" s="74"/>
      <c r="E5" s="74"/>
      <c r="F5" s="74"/>
      <c r="G5" s="74"/>
      <c r="H5" s="155" t="s">
        <v>200</v>
      </c>
      <c r="I5" s="155">
        <v>200</v>
      </c>
      <c r="J5" s="155"/>
      <c r="K5" s="155"/>
      <c r="L5" s="178">
        <v>41611</v>
      </c>
      <c r="M5" s="179">
        <v>46056</v>
      </c>
      <c r="N5" s="176"/>
      <c r="O5" s="222" t="s">
        <v>212</v>
      </c>
      <c r="P5" s="222">
        <v>10</v>
      </c>
      <c r="Q5" s="222"/>
      <c r="R5" s="222"/>
      <c r="S5" s="181">
        <v>42411</v>
      </c>
      <c r="T5" s="182">
        <v>46059</v>
      </c>
      <c r="U5" s="183"/>
      <c r="V5" s="1"/>
      <c r="W5" s="1"/>
      <c r="X5" s="1"/>
      <c r="Y5" s="1"/>
      <c r="Z5" s="184"/>
      <c r="AA5" s="185"/>
      <c r="AB5" s="1"/>
    </row>
    <row r="6" spans="1:28">
      <c r="A6" s="152"/>
      <c r="B6" s="156"/>
      <c r="C6" s="156"/>
      <c r="D6" s="74"/>
      <c r="E6" s="74"/>
      <c r="F6" s="74"/>
      <c r="G6" s="74"/>
      <c r="H6" s="155" t="s">
        <v>18</v>
      </c>
      <c r="I6" s="155">
        <v>251</v>
      </c>
      <c r="J6" s="155"/>
      <c r="K6" s="155"/>
      <c r="L6" s="178">
        <v>43211</v>
      </c>
      <c r="M6" s="179">
        <v>46066</v>
      </c>
      <c r="N6" s="176"/>
      <c r="O6" s="222" t="s">
        <v>66</v>
      </c>
      <c r="P6" s="222">
        <v>10</v>
      </c>
      <c r="Q6" s="222"/>
      <c r="R6" s="222"/>
      <c r="S6" s="181">
        <v>43411</v>
      </c>
      <c r="T6" s="182">
        <v>46062</v>
      </c>
      <c r="U6" s="183"/>
      <c r="V6" s="1"/>
      <c r="W6" s="2"/>
      <c r="X6" s="1"/>
      <c r="Y6" s="1"/>
      <c r="Z6" s="184"/>
      <c r="AA6" s="185"/>
      <c r="AB6" s="186"/>
    </row>
    <row r="7" spans="1:28">
      <c r="A7" s="152"/>
      <c r="B7" s="153"/>
      <c r="C7" s="153"/>
      <c r="D7" s="74"/>
      <c r="E7" s="74"/>
      <c r="F7" s="74"/>
      <c r="G7" s="74"/>
      <c r="H7" s="155" t="s">
        <v>186</v>
      </c>
      <c r="I7" s="155">
        <v>129</v>
      </c>
      <c r="J7" s="155"/>
      <c r="K7" s="155"/>
      <c r="L7" s="178">
        <v>41411</v>
      </c>
      <c r="M7" s="179">
        <v>46050</v>
      </c>
      <c r="N7" s="176"/>
      <c r="O7" s="222" t="s">
        <v>159</v>
      </c>
      <c r="P7" s="222">
        <v>8</v>
      </c>
      <c r="Q7" s="222"/>
      <c r="R7" s="222"/>
      <c r="S7" s="181">
        <v>41911</v>
      </c>
      <c r="T7" s="182">
        <v>46044</v>
      </c>
      <c r="U7" s="183"/>
      <c r="V7" s="1"/>
      <c r="W7" s="1"/>
      <c r="X7" s="1"/>
      <c r="Y7" s="1"/>
      <c r="Z7" s="184"/>
      <c r="AA7" s="185"/>
      <c r="AB7" s="186"/>
    </row>
    <row r="8" spans="1:28">
      <c r="A8" s="152"/>
      <c r="B8" s="156"/>
      <c r="C8" s="156"/>
      <c r="D8" s="74"/>
      <c r="E8" s="74"/>
      <c r="F8" s="74"/>
      <c r="G8" s="74"/>
      <c r="H8" s="155" t="s">
        <v>165</v>
      </c>
      <c r="I8" s="155">
        <v>7</v>
      </c>
      <c r="J8" s="155"/>
      <c r="K8" s="155"/>
      <c r="L8" s="178">
        <v>42511</v>
      </c>
      <c r="M8" s="179">
        <v>46024</v>
      </c>
      <c r="N8" s="176"/>
      <c r="O8" s="222" t="s">
        <v>159</v>
      </c>
      <c r="P8" s="222">
        <v>5</v>
      </c>
      <c r="Q8" s="222"/>
      <c r="R8" s="222"/>
      <c r="S8" s="181">
        <v>41411</v>
      </c>
      <c r="T8" s="182">
        <v>46050</v>
      </c>
      <c r="U8" s="183"/>
      <c r="V8" s="1"/>
      <c r="W8" s="1"/>
      <c r="X8" s="1"/>
      <c r="Y8" s="1"/>
      <c r="Z8" s="184"/>
      <c r="AA8" s="185"/>
      <c r="AB8" s="186"/>
    </row>
    <row r="9" spans="1:28">
      <c r="A9" s="152"/>
      <c r="B9" s="153"/>
      <c r="C9" s="153"/>
      <c r="D9" s="74"/>
      <c r="E9" s="74"/>
      <c r="F9" s="74"/>
      <c r="G9" s="74"/>
      <c r="H9" s="155" t="s">
        <v>19</v>
      </c>
      <c r="I9" s="155">
        <v>200</v>
      </c>
      <c r="J9" s="155"/>
      <c r="K9" s="155"/>
      <c r="L9" s="178">
        <v>41611</v>
      </c>
      <c r="M9" s="179">
        <v>46056</v>
      </c>
      <c r="N9" s="176"/>
      <c r="O9" s="222" t="s">
        <v>9</v>
      </c>
      <c r="P9" s="223">
        <v>3</v>
      </c>
      <c r="Q9" s="222"/>
      <c r="R9" s="222"/>
      <c r="S9" s="181">
        <v>41911</v>
      </c>
      <c r="T9" s="182">
        <v>46056</v>
      </c>
      <c r="U9" s="183"/>
      <c r="V9" s="1"/>
      <c r="W9" s="2"/>
      <c r="X9" s="1"/>
      <c r="Y9" s="1"/>
      <c r="Z9" s="184"/>
      <c r="AA9" s="185"/>
      <c r="AB9" s="1"/>
    </row>
    <row r="10" spans="1:28">
      <c r="A10" s="152">
        <v>46056</v>
      </c>
      <c r="B10" s="153">
        <v>100</v>
      </c>
      <c r="C10" s="153">
        <v>41111</v>
      </c>
      <c r="D10" s="74"/>
      <c r="E10" s="74"/>
      <c r="F10" s="74"/>
      <c r="G10" s="74"/>
      <c r="H10" s="155" t="s">
        <v>19</v>
      </c>
      <c r="I10" s="177">
        <v>205</v>
      </c>
      <c r="J10" s="155"/>
      <c r="K10" s="155"/>
      <c r="L10" s="178">
        <v>41911</v>
      </c>
      <c r="M10" s="179">
        <v>46056</v>
      </c>
      <c r="N10" s="176"/>
      <c r="O10" s="222" t="s">
        <v>9</v>
      </c>
      <c r="P10" s="222">
        <v>11</v>
      </c>
      <c r="Q10" s="222"/>
      <c r="R10" s="222"/>
      <c r="S10" s="181">
        <v>42411</v>
      </c>
      <c r="T10" s="182">
        <v>46059</v>
      </c>
      <c r="U10" s="183"/>
      <c r="V10" s="1"/>
      <c r="W10" s="1"/>
      <c r="X10" s="1"/>
      <c r="Y10" s="1"/>
      <c r="Z10" s="184"/>
      <c r="AA10" s="185"/>
      <c r="AB10" s="1"/>
    </row>
    <row r="11" spans="1:28">
      <c r="A11" s="152"/>
      <c r="B11" s="156"/>
      <c r="C11" s="156"/>
      <c r="D11" s="74"/>
      <c r="E11" s="74"/>
      <c r="F11" s="74"/>
      <c r="G11" s="74"/>
      <c r="H11" s="155" t="s">
        <v>19</v>
      </c>
      <c r="I11" s="177">
        <v>100</v>
      </c>
      <c r="J11" s="155"/>
      <c r="K11" s="155"/>
      <c r="L11" s="178">
        <v>43411</v>
      </c>
      <c r="M11" s="179">
        <v>46062</v>
      </c>
      <c r="N11" s="176"/>
      <c r="O11" s="222" t="s">
        <v>9</v>
      </c>
      <c r="P11" s="223">
        <v>27</v>
      </c>
      <c r="Q11" s="222"/>
      <c r="R11" s="222"/>
      <c r="S11" s="181">
        <v>43411</v>
      </c>
      <c r="T11" s="182">
        <v>46062</v>
      </c>
      <c r="U11" s="183"/>
      <c r="V11" s="1"/>
      <c r="W11" s="1"/>
      <c r="X11" s="1"/>
      <c r="Y11" s="1"/>
      <c r="Z11" s="184"/>
      <c r="AA11" s="185"/>
      <c r="AB11" s="1"/>
    </row>
    <row r="12" spans="1:28">
      <c r="A12" s="152"/>
      <c r="B12" s="153"/>
      <c r="C12" s="153"/>
      <c r="D12" s="74"/>
      <c r="E12" s="74"/>
      <c r="F12" s="74"/>
      <c r="G12" s="74"/>
      <c r="H12" s="155" t="s">
        <v>235</v>
      </c>
      <c r="I12" s="155">
        <v>35</v>
      </c>
      <c r="J12" s="155"/>
      <c r="K12" s="155"/>
      <c r="L12" s="178">
        <v>43211</v>
      </c>
      <c r="M12" s="179">
        <v>46066</v>
      </c>
      <c r="N12" s="176"/>
      <c r="O12" s="222" t="s">
        <v>193</v>
      </c>
      <c r="P12" s="222">
        <v>5</v>
      </c>
      <c r="Q12" s="222"/>
      <c r="R12" s="222"/>
      <c r="S12" s="181">
        <v>41411</v>
      </c>
      <c r="T12" s="182">
        <v>46050</v>
      </c>
      <c r="U12" s="183"/>
      <c r="V12" s="1"/>
      <c r="W12" s="1"/>
      <c r="X12" s="1"/>
      <c r="Y12" s="1"/>
      <c r="Z12" s="184"/>
      <c r="AA12" s="185"/>
      <c r="AB12" s="1"/>
    </row>
    <row r="13" spans="1:28">
      <c r="A13" s="152"/>
      <c r="B13" s="153"/>
      <c r="C13" s="153"/>
      <c r="D13" s="74"/>
      <c r="E13" s="74"/>
      <c r="F13" s="74"/>
      <c r="G13" s="74"/>
      <c r="H13" s="155" t="s">
        <v>91</v>
      </c>
      <c r="I13" s="177">
        <v>40</v>
      </c>
      <c r="J13" s="155"/>
      <c r="K13" s="155"/>
      <c r="L13" s="178">
        <v>43211</v>
      </c>
      <c r="M13" s="179">
        <v>46066</v>
      </c>
      <c r="N13" s="176"/>
      <c r="O13" s="267" t="s">
        <v>182</v>
      </c>
      <c r="P13" s="267">
        <v>2</v>
      </c>
      <c r="Q13" s="267"/>
      <c r="R13" s="267"/>
      <c r="S13" s="268">
        <v>41911</v>
      </c>
      <c r="T13" s="269">
        <v>46044</v>
      </c>
      <c r="U13" s="183"/>
      <c r="V13" s="1"/>
      <c r="W13" s="1"/>
      <c r="X13" s="1"/>
      <c r="Y13" s="1"/>
      <c r="Z13" s="184"/>
      <c r="AA13" s="185"/>
      <c r="AB13" s="1"/>
    </row>
    <row r="14" spans="1:28">
      <c r="A14" s="152"/>
      <c r="B14" s="153"/>
      <c r="C14" s="153"/>
      <c r="D14" s="157"/>
      <c r="E14" s="158"/>
      <c r="F14" s="74"/>
      <c r="G14" s="74"/>
      <c r="H14" s="155" t="s">
        <v>145</v>
      </c>
      <c r="I14" s="155">
        <v>27</v>
      </c>
      <c r="J14" s="155"/>
      <c r="K14" s="155"/>
      <c r="L14" s="178">
        <v>40911</v>
      </c>
      <c r="M14" s="179">
        <v>46031</v>
      </c>
      <c r="N14" s="176"/>
      <c r="O14" s="222" t="s">
        <v>12</v>
      </c>
      <c r="P14" s="222">
        <v>21</v>
      </c>
      <c r="Q14" s="222"/>
      <c r="R14" s="222"/>
      <c r="S14" s="181">
        <v>41611</v>
      </c>
      <c r="T14" s="182">
        <v>46056</v>
      </c>
      <c r="U14" s="183"/>
      <c r="V14" s="1"/>
      <c r="W14" s="1"/>
      <c r="X14" s="1"/>
      <c r="Y14" s="1"/>
      <c r="Z14" s="184"/>
      <c r="AA14" s="185"/>
      <c r="AB14" s="1"/>
    </row>
    <row r="15" spans="1:28">
      <c r="A15" s="152"/>
      <c r="B15" s="153"/>
      <c r="C15" s="153"/>
      <c r="D15" s="74"/>
      <c r="E15" s="74"/>
      <c r="F15" s="74"/>
      <c r="G15" s="74"/>
      <c r="H15" s="155" t="s">
        <v>145</v>
      </c>
      <c r="I15" s="155">
        <v>40</v>
      </c>
      <c r="J15" s="155"/>
      <c r="K15" s="155"/>
      <c r="L15" s="178">
        <v>41611</v>
      </c>
      <c r="M15" s="179">
        <v>46037</v>
      </c>
      <c r="N15" s="176"/>
      <c r="O15" s="222" t="s">
        <v>144</v>
      </c>
      <c r="P15" s="222">
        <v>5</v>
      </c>
      <c r="Q15" s="222"/>
      <c r="R15" s="222"/>
      <c r="S15" s="181">
        <v>41411</v>
      </c>
      <c r="T15" s="182">
        <v>46036</v>
      </c>
      <c r="U15" s="183"/>
      <c r="V15" s="1"/>
      <c r="W15" s="1"/>
      <c r="X15" s="1"/>
      <c r="Y15" s="1"/>
      <c r="Z15" s="184"/>
      <c r="AA15" s="185"/>
      <c r="AB15" s="1"/>
    </row>
    <row r="16" spans="1:28">
      <c r="A16" s="152"/>
      <c r="B16" s="156"/>
      <c r="C16" s="156"/>
      <c r="D16" s="74"/>
      <c r="F16" s="74" t="s">
        <v>21</v>
      </c>
      <c r="G16" s="159">
        <f>SUM(B3:B30)</f>
        <v>1965</v>
      </c>
      <c r="H16" s="155" t="s">
        <v>145</v>
      </c>
      <c r="I16" s="155">
        <v>40</v>
      </c>
      <c r="J16" s="155"/>
      <c r="K16" s="155"/>
      <c r="L16" s="178">
        <v>41411</v>
      </c>
      <c r="M16" s="179">
        <v>46050</v>
      </c>
      <c r="N16" s="176"/>
      <c r="O16" s="222" t="s">
        <v>144</v>
      </c>
      <c r="P16" s="222">
        <v>15</v>
      </c>
      <c r="Q16" s="222"/>
      <c r="R16" s="222"/>
      <c r="S16" s="181">
        <v>41911</v>
      </c>
      <c r="T16" s="182">
        <v>46044</v>
      </c>
      <c r="U16" s="197"/>
      <c r="V16" s="1"/>
      <c r="W16" s="1"/>
      <c r="X16" s="1"/>
      <c r="Y16" s="1"/>
      <c r="Z16" s="184"/>
      <c r="AA16" s="185"/>
      <c r="AB16" s="1"/>
    </row>
    <row r="17" spans="1:28">
      <c r="A17" s="152">
        <v>46051</v>
      </c>
      <c r="B17" s="153">
        <v>2</v>
      </c>
      <c r="C17" s="153">
        <v>41911</v>
      </c>
      <c r="D17" s="74"/>
      <c r="E17" s="74"/>
      <c r="F17" s="74"/>
      <c r="G17" s="159"/>
      <c r="H17" s="155" t="s">
        <v>20</v>
      </c>
      <c r="I17" s="177">
        <v>29</v>
      </c>
      <c r="J17" s="155"/>
      <c r="K17" s="155"/>
      <c r="L17" s="178">
        <v>41911</v>
      </c>
      <c r="M17" s="179">
        <v>46056</v>
      </c>
      <c r="N17" s="176"/>
      <c r="O17" s="222" t="s">
        <v>176</v>
      </c>
      <c r="P17" s="222">
        <v>282</v>
      </c>
      <c r="Q17" s="222"/>
      <c r="R17" s="222"/>
      <c r="S17" s="181">
        <v>38111</v>
      </c>
      <c r="T17" s="182">
        <v>46035</v>
      </c>
      <c r="U17" s="197"/>
      <c r="V17" s="1"/>
      <c r="W17" s="2"/>
      <c r="X17" s="1"/>
      <c r="Y17" s="1"/>
      <c r="Z17" s="184"/>
      <c r="AA17" s="185"/>
      <c r="AB17" s="1"/>
    </row>
    <row r="18" spans="1:28">
      <c r="A18" s="152">
        <v>46062</v>
      </c>
      <c r="B18" s="153">
        <v>150</v>
      </c>
      <c r="C18" s="153">
        <v>43411</v>
      </c>
      <c r="D18" s="74"/>
      <c r="E18" s="74"/>
      <c r="F18" s="74"/>
      <c r="G18" s="160"/>
      <c r="H18" s="155" t="s">
        <v>20</v>
      </c>
      <c r="I18" s="155">
        <v>100</v>
      </c>
      <c r="J18" s="155"/>
      <c r="K18" s="155"/>
      <c r="L18" s="178">
        <v>42411</v>
      </c>
      <c r="M18" s="179">
        <v>46059</v>
      </c>
      <c r="N18" s="176"/>
      <c r="O18" s="222" t="s">
        <v>16</v>
      </c>
      <c r="P18" s="222">
        <v>15</v>
      </c>
      <c r="Q18" s="222"/>
      <c r="R18" s="222"/>
      <c r="S18" s="181">
        <v>42411</v>
      </c>
      <c r="T18" s="182">
        <v>46059</v>
      </c>
      <c r="U18" s="183"/>
      <c r="V18" s="1"/>
      <c r="W18" s="1"/>
      <c r="X18" s="1"/>
      <c r="Y18" s="1"/>
      <c r="Z18" s="184"/>
      <c r="AA18" s="185"/>
      <c r="AB18" s="1"/>
    </row>
    <row r="19" spans="1:28">
      <c r="A19" s="152"/>
      <c r="B19" s="153"/>
      <c r="C19" s="153"/>
      <c r="D19" s="74"/>
      <c r="E19" s="74"/>
      <c r="F19" s="74"/>
      <c r="G19" s="159"/>
      <c r="H19" s="155" t="s">
        <v>20</v>
      </c>
      <c r="I19" s="155">
        <v>100</v>
      </c>
      <c r="J19" s="155"/>
      <c r="K19" s="155"/>
      <c r="L19" s="178">
        <v>43411</v>
      </c>
      <c r="M19" s="179">
        <v>46062</v>
      </c>
      <c r="N19" s="176"/>
      <c r="O19" s="222" t="s">
        <v>16</v>
      </c>
      <c r="P19" s="222">
        <v>45</v>
      </c>
      <c r="Q19" s="222"/>
      <c r="R19" s="222"/>
      <c r="S19" s="181">
        <v>43411</v>
      </c>
      <c r="T19" s="182">
        <v>46062</v>
      </c>
      <c r="U19" s="183"/>
      <c r="V19" s="1"/>
      <c r="W19" s="2"/>
      <c r="X19" s="1"/>
      <c r="Y19" s="1"/>
      <c r="Z19" s="184"/>
      <c r="AA19" s="185"/>
      <c r="AB19" s="1"/>
    </row>
    <row r="20" spans="1:28">
      <c r="A20" s="152"/>
      <c r="B20" s="153"/>
      <c r="C20" s="153"/>
      <c r="D20" s="74"/>
      <c r="E20" s="74"/>
      <c r="F20" s="74"/>
      <c r="G20" s="159"/>
      <c r="H20" s="155" t="s">
        <v>22</v>
      </c>
      <c r="I20" s="155">
        <v>35</v>
      </c>
      <c r="J20" s="155"/>
      <c r="K20" s="155"/>
      <c r="L20" s="178">
        <v>43411</v>
      </c>
      <c r="M20" s="179">
        <v>46062</v>
      </c>
      <c r="N20" s="176"/>
      <c r="O20" s="222" t="s">
        <v>16</v>
      </c>
      <c r="P20" s="222">
        <v>15</v>
      </c>
      <c r="Q20" s="222"/>
      <c r="R20" s="222"/>
      <c r="S20" s="181">
        <v>43211</v>
      </c>
      <c r="T20" s="182">
        <v>46066</v>
      </c>
      <c r="U20" s="183"/>
      <c r="V20" s="1"/>
      <c r="W20" s="1"/>
      <c r="X20" s="1"/>
      <c r="Y20" s="1"/>
      <c r="Z20" s="184"/>
      <c r="AA20" s="185"/>
      <c r="AB20" s="1"/>
    </row>
    <row r="21" spans="1:28">
      <c r="A21" s="152">
        <v>46059</v>
      </c>
      <c r="B21" s="156">
        <v>222</v>
      </c>
      <c r="C21" s="156">
        <v>42411</v>
      </c>
      <c r="D21" s="74"/>
      <c r="E21" s="74"/>
      <c r="F21" s="74"/>
      <c r="G21" s="160"/>
      <c r="H21" s="155" t="s">
        <v>190</v>
      </c>
      <c r="I21" s="155">
        <v>35</v>
      </c>
      <c r="J21" s="155"/>
      <c r="K21" s="155"/>
      <c r="L21" s="178">
        <v>41411</v>
      </c>
      <c r="M21" s="179">
        <v>46050</v>
      </c>
      <c r="N21" s="176"/>
      <c r="O21" s="222" t="s">
        <v>161</v>
      </c>
      <c r="P21" s="222">
        <v>7</v>
      </c>
      <c r="Q21" s="222"/>
      <c r="R21" s="222"/>
      <c r="S21" s="181">
        <v>41411</v>
      </c>
      <c r="T21" s="182">
        <v>46050</v>
      </c>
      <c r="U21" s="183"/>
      <c r="V21" s="1"/>
      <c r="W21" s="1"/>
      <c r="X21" s="1"/>
      <c r="Y21" s="1"/>
      <c r="Z21" s="184"/>
      <c r="AA21" s="185"/>
      <c r="AB21" s="1"/>
    </row>
    <row r="22" spans="1:28">
      <c r="A22" s="162"/>
      <c r="B22" s="163"/>
      <c r="C22" s="163"/>
      <c r="D22" s="161"/>
      <c r="E22" s="74"/>
      <c r="F22" s="74"/>
      <c r="G22" s="160"/>
      <c r="H22" s="155" t="s">
        <v>227</v>
      </c>
      <c r="I22" s="155">
        <v>51</v>
      </c>
      <c r="J22" s="155"/>
      <c r="K22" s="155"/>
      <c r="L22" s="178">
        <v>43211</v>
      </c>
      <c r="M22" s="179">
        <v>46066</v>
      </c>
      <c r="N22" s="176"/>
      <c r="O22" s="222" t="s">
        <v>211</v>
      </c>
      <c r="P22" s="222">
        <v>5</v>
      </c>
      <c r="Q22" s="222"/>
      <c r="R22" s="222"/>
      <c r="S22" s="181">
        <v>42411</v>
      </c>
      <c r="T22" s="182">
        <v>46059</v>
      </c>
      <c r="U22" s="183"/>
      <c r="V22" s="1"/>
      <c r="W22" s="1"/>
      <c r="X22" s="1"/>
      <c r="Y22" s="1"/>
      <c r="Z22" s="184"/>
      <c r="AA22" s="185"/>
      <c r="AB22" s="1"/>
    </row>
    <row r="23" spans="1:28">
      <c r="A23" s="230">
        <v>46066</v>
      </c>
      <c r="B23" s="260">
        <v>777</v>
      </c>
      <c r="C23" s="260">
        <v>43211</v>
      </c>
      <c r="D23" s="74"/>
      <c r="E23" s="74"/>
      <c r="F23" s="74"/>
      <c r="G23" s="159"/>
      <c r="H23" s="155" t="s">
        <v>23</v>
      </c>
      <c r="I23" s="155">
        <v>50</v>
      </c>
      <c r="J23" s="155"/>
      <c r="K23" s="155"/>
      <c r="L23" s="178">
        <v>42811</v>
      </c>
      <c r="M23" s="179">
        <v>46058</v>
      </c>
      <c r="N23" s="176"/>
      <c r="O23" s="222" t="s">
        <v>211</v>
      </c>
      <c r="P23" s="222">
        <v>20</v>
      </c>
      <c r="Q23" s="222"/>
      <c r="R23" s="222"/>
      <c r="S23" s="181">
        <v>43211</v>
      </c>
      <c r="T23" s="182">
        <v>46066</v>
      </c>
      <c r="U23" s="183"/>
      <c r="V23" s="1"/>
      <c r="W23" s="1"/>
      <c r="X23" s="1"/>
      <c r="Y23" s="1"/>
      <c r="Z23" s="184"/>
      <c r="AA23" s="185"/>
      <c r="AB23" s="1"/>
    </row>
    <row r="24" spans="1:28">
      <c r="A24" s="152"/>
      <c r="B24" s="153"/>
      <c r="C24" s="153"/>
      <c r="D24" s="164"/>
      <c r="E24" s="74"/>
      <c r="F24" s="74"/>
      <c r="G24" s="74"/>
      <c r="H24" s="155" t="s">
        <v>168</v>
      </c>
      <c r="I24" s="155">
        <v>5</v>
      </c>
      <c r="J24" s="155"/>
      <c r="K24" s="155"/>
      <c r="L24" s="178">
        <v>41611</v>
      </c>
      <c r="M24" s="179">
        <v>46037</v>
      </c>
      <c r="N24" s="176"/>
      <c r="O24" s="222" t="s">
        <v>67</v>
      </c>
      <c r="P24" s="222">
        <v>15</v>
      </c>
      <c r="Q24" s="222"/>
      <c r="R24" s="222"/>
      <c r="S24" s="181">
        <v>43411</v>
      </c>
      <c r="T24" s="182">
        <v>46060</v>
      </c>
      <c r="U24" s="183"/>
      <c r="V24" s="1"/>
      <c r="W24" s="2"/>
      <c r="X24" s="1"/>
      <c r="Y24" s="1"/>
      <c r="Z24" s="184"/>
      <c r="AA24" s="215"/>
      <c r="AB24" s="1"/>
    </row>
    <row r="25" spans="1:28">
      <c r="A25" s="152"/>
      <c r="B25" s="156"/>
      <c r="C25" s="156"/>
      <c r="D25" s="74"/>
      <c r="E25" s="74"/>
      <c r="F25" s="74"/>
      <c r="G25" s="160"/>
      <c r="H25" s="155" t="s">
        <v>168</v>
      </c>
      <c r="I25" s="155">
        <v>50</v>
      </c>
      <c r="J25" s="155"/>
      <c r="K25" s="155"/>
      <c r="L25" s="178">
        <v>41911</v>
      </c>
      <c r="M25" s="179">
        <v>46044</v>
      </c>
      <c r="N25" s="176"/>
      <c r="O25" s="222" t="s">
        <v>177</v>
      </c>
      <c r="P25" s="222">
        <v>8</v>
      </c>
      <c r="Q25" s="222"/>
      <c r="R25" s="222"/>
      <c r="S25" s="181">
        <v>41411</v>
      </c>
      <c r="T25" s="182">
        <v>46050</v>
      </c>
      <c r="U25" s="183"/>
      <c r="V25" s="1"/>
      <c r="W25" s="1"/>
      <c r="X25" s="1"/>
      <c r="Y25" s="1"/>
      <c r="Z25" s="184"/>
      <c r="AA25" s="185"/>
      <c r="AB25" s="1"/>
    </row>
    <row r="26" spans="1:28">
      <c r="A26" s="152"/>
      <c r="B26" s="153"/>
      <c r="C26" s="153"/>
      <c r="D26" s="74"/>
      <c r="E26" s="74"/>
      <c r="F26" s="74"/>
      <c r="G26" s="138"/>
      <c r="H26" s="155" t="s">
        <v>168</v>
      </c>
      <c r="I26" s="155">
        <v>100</v>
      </c>
      <c r="J26" s="155"/>
      <c r="K26" s="155"/>
      <c r="L26" s="178">
        <v>41411</v>
      </c>
      <c r="M26" s="179">
        <v>46050</v>
      </c>
      <c r="N26" s="176"/>
      <c r="O26" s="222" t="s">
        <v>218</v>
      </c>
      <c r="P26" s="222">
        <v>30</v>
      </c>
      <c r="Q26" s="222"/>
      <c r="R26" s="222"/>
      <c r="S26" s="181">
        <v>43411</v>
      </c>
      <c r="T26" s="182">
        <v>46060</v>
      </c>
      <c r="U26" s="183"/>
      <c r="V26" s="1"/>
      <c r="W26" s="1"/>
      <c r="X26" s="1"/>
      <c r="Y26" s="1"/>
      <c r="Z26" s="184"/>
      <c r="AA26" s="185"/>
      <c r="AB26" s="1"/>
    </row>
    <row r="27" spans="1:28">
      <c r="A27" s="152"/>
      <c r="B27" s="153"/>
      <c r="C27" s="153"/>
      <c r="D27" s="74"/>
      <c r="E27" s="74"/>
      <c r="F27" s="74"/>
      <c r="G27" s="74"/>
      <c r="H27" s="155" t="s">
        <v>174</v>
      </c>
      <c r="I27" s="155">
        <v>7</v>
      </c>
      <c r="J27" s="155"/>
      <c r="K27" s="155"/>
      <c r="L27" s="178">
        <v>40611</v>
      </c>
      <c r="M27" s="179">
        <v>46035</v>
      </c>
      <c r="N27" s="176"/>
      <c r="O27" s="222" t="s">
        <v>162</v>
      </c>
      <c r="P27" s="222">
        <v>1</v>
      </c>
      <c r="Q27" s="222"/>
      <c r="R27" s="222"/>
      <c r="S27" s="181">
        <v>42411</v>
      </c>
      <c r="T27" s="182">
        <v>46039</v>
      </c>
      <c r="U27" s="183"/>
      <c r="V27" s="1"/>
      <c r="W27" s="1"/>
      <c r="X27" s="1"/>
      <c r="Y27" s="1"/>
      <c r="Z27" s="184"/>
      <c r="AA27" s="185"/>
      <c r="AB27" s="1"/>
    </row>
    <row r="28" spans="1:28">
      <c r="A28" s="152"/>
      <c r="B28" s="153"/>
      <c r="C28" s="153"/>
      <c r="D28" s="74"/>
      <c r="E28" s="74"/>
      <c r="F28" s="74"/>
      <c r="G28" s="160"/>
      <c r="H28" s="155" t="s">
        <v>174</v>
      </c>
      <c r="I28" s="155">
        <v>30</v>
      </c>
      <c r="J28" s="155"/>
      <c r="K28" s="155"/>
      <c r="L28" s="178">
        <v>41411</v>
      </c>
      <c r="M28" s="179">
        <v>46050</v>
      </c>
      <c r="N28" s="176"/>
      <c r="O28" s="222" t="s">
        <v>232</v>
      </c>
      <c r="P28" s="222">
        <v>30</v>
      </c>
      <c r="Q28" s="222"/>
      <c r="R28" s="222"/>
      <c r="S28" s="181">
        <v>43211</v>
      </c>
      <c r="T28" s="182">
        <v>46066</v>
      </c>
      <c r="U28" s="183"/>
      <c r="V28" s="1"/>
      <c r="W28" s="1"/>
      <c r="X28" s="1"/>
      <c r="Y28" s="1"/>
      <c r="Z28" s="184"/>
      <c r="AA28" s="185"/>
      <c r="AB28" s="1"/>
    </row>
    <row r="29" spans="1:28">
      <c r="A29" s="152"/>
      <c r="B29" s="219"/>
      <c r="C29" s="219"/>
      <c r="D29" s="74"/>
      <c r="E29" s="74"/>
      <c r="F29" s="74"/>
      <c r="G29" s="74"/>
      <c r="H29" s="155" t="s">
        <v>195</v>
      </c>
      <c r="I29" s="155">
        <v>40</v>
      </c>
      <c r="J29" s="155"/>
      <c r="K29" s="155"/>
      <c r="L29" s="178">
        <v>43811</v>
      </c>
      <c r="M29" s="179">
        <v>46063</v>
      </c>
      <c r="N29" s="176"/>
      <c r="O29" s="222" t="s">
        <v>17</v>
      </c>
      <c r="P29" s="223">
        <v>16</v>
      </c>
      <c r="Q29" s="222"/>
      <c r="R29" s="222"/>
      <c r="S29" s="181">
        <v>43211</v>
      </c>
      <c r="T29" s="182">
        <v>46066</v>
      </c>
      <c r="U29" s="183"/>
      <c r="V29" s="1"/>
      <c r="W29" s="1"/>
      <c r="X29" s="1"/>
      <c r="Y29" s="1"/>
      <c r="Z29" s="184"/>
      <c r="AA29" s="185"/>
      <c r="AB29" s="1"/>
    </row>
    <row r="30" spans="1:28">
      <c r="A30" s="152"/>
      <c r="B30" s="153"/>
      <c r="C30" s="153"/>
      <c r="D30" s="74"/>
      <c r="E30" s="74"/>
      <c r="F30" s="74"/>
      <c r="G30" s="74"/>
      <c r="H30" s="155" t="s">
        <v>228</v>
      </c>
      <c r="I30" s="155">
        <v>151</v>
      </c>
      <c r="J30" s="155"/>
      <c r="K30" s="155"/>
      <c r="L30" s="178">
        <v>43211</v>
      </c>
      <c r="M30" s="179">
        <v>46066</v>
      </c>
      <c r="N30" s="176"/>
      <c r="O30" s="222" t="s">
        <v>220</v>
      </c>
      <c r="P30" s="223">
        <v>30</v>
      </c>
      <c r="Q30" s="222"/>
      <c r="R30" s="222"/>
      <c r="S30" s="181">
        <v>43411</v>
      </c>
      <c r="T30" s="182">
        <v>46062</v>
      </c>
      <c r="U30" s="183"/>
      <c r="V30" s="1"/>
      <c r="W30" s="1"/>
      <c r="X30" s="1"/>
      <c r="Y30" s="1"/>
      <c r="Z30" s="184"/>
      <c r="AA30" s="185"/>
      <c r="AB30" s="1"/>
    </row>
    <row r="31" spans="1:28" ht="21">
      <c r="A31" s="165" t="s">
        <v>31</v>
      </c>
      <c r="B31" s="166"/>
      <c r="C31" s="167"/>
      <c r="D31" s="74"/>
      <c r="E31" s="74"/>
      <c r="F31" s="74"/>
      <c r="G31" s="74"/>
      <c r="H31" s="155" t="s">
        <v>27</v>
      </c>
      <c r="I31" s="155">
        <v>100</v>
      </c>
      <c r="J31" s="155"/>
      <c r="K31" s="155"/>
      <c r="L31" s="178">
        <v>41611</v>
      </c>
      <c r="M31" s="179">
        <v>46056</v>
      </c>
      <c r="N31" s="176"/>
      <c r="O31" s="222" t="s">
        <v>103</v>
      </c>
      <c r="P31" s="222">
        <v>1</v>
      </c>
      <c r="Q31" s="222"/>
      <c r="R31" s="222"/>
      <c r="S31" s="181">
        <v>42411</v>
      </c>
      <c r="T31" s="182">
        <v>46059</v>
      </c>
      <c r="U31" s="197"/>
      <c r="V31" s="1"/>
      <c r="W31" s="1"/>
      <c r="X31" s="1"/>
      <c r="Y31" s="1"/>
      <c r="Z31" s="184"/>
      <c r="AA31" s="185"/>
      <c r="AB31" s="1"/>
    </row>
    <row r="32" spans="1:28">
      <c r="A32" s="152"/>
      <c r="B32" s="153"/>
      <c r="C32" s="153"/>
      <c r="D32" s="74"/>
      <c r="E32" s="74"/>
      <c r="F32" s="74"/>
      <c r="G32" s="159">
        <f>SUM(B32:B50)</f>
        <v>1647</v>
      </c>
      <c r="H32" s="155" t="s">
        <v>27</v>
      </c>
      <c r="I32" s="177">
        <v>64</v>
      </c>
      <c r="J32" s="155"/>
      <c r="K32" s="155"/>
      <c r="L32" s="178">
        <v>41911</v>
      </c>
      <c r="M32" s="217">
        <v>46051</v>
      </c>
      <c r="N32" s="176"/>
      <c r="O32" s="267" t="s">
        <v>188</v>
      </c>
      <c r="P32" s="267">
        <v>1</v>
      </c>
      <c r="Q32" s="267"/>
      <c r="R32" s="267"/>
      <c r="S32" s="268">
        <v>41411</v>
      </c>
      <c r="T32" s="269">
        <v>46050</v>
      </c>
      <c r="U32" s="183"/>
      <c r="V32" s="1"/>
      <c r="W32" s="1"/>
      <c r="X32" s="1"/>
      <c r="Y32" s="1"/>
      <c r="Z32" s="184"/>
      <c r="AA32" s="185"/>
      <c r="AB32" s="1"/>
    </row>
    <row r="33" spans="1:28">
      <c r="A33" s="152">
        <v>46050</v>
      </c>
      <c r="B33" s="153">
        <v>604</v>
      </c>
      <c r="C33" s="153">
        <v>41411</v>
      </c>
      <c r="D33" s="74"/>
      <c r="E33" s="74"/>
      <c r="F33" s="138"/>
      <c r="G33" s="74"/>
      <c r="H33" s="155" t="s">
        <v>233</v>
      </c>
      <c r="I33" s="177">
        <v>15</v>
      </c>
      <c r="J33" s="155"/>
      <c r="K33" s="155"/>
      <c r="L33" s="178" t="s">
        <v>231</v>
      </c>
      <c r="M33" s="179">
        <v>46066</v>
      </c>
      <c r="N33" s="176"/>
      <c r="O33" s="222" t="s">
        <v>170</v>
      </c>
      <c r="P33" s="222">
        <v>15</v>
      </c>
      <c r="Q33" s="222"/>
      <c r="R33" s="222"/>
      <c r="S33" s="181">
        <v>40911</v>
      </c>
      <c r="T33" s="182">
        <v>46031</v>
      </c>
      <c r="U33" s="183"/>
      <c r="V33" s="1"/>
      <c r="W33" s="1"/>
      <c r="X33" s="1"/>
      <c r="Y33" s="1"/>
      <c r="Z33" s="184"/>
      <c r="AA33" s="185"/>
      <c r="AB33" s="1"/>
    </row>
    <row r="34" spans="1:28">
      <c r="A34" s="152"/>
      <c r="B34" s="153"/>
      <c r="C34" s="153"/>
      <c r="D34" s="74"/>
      <c r="E34" s="74"/>
      <c r="F34" s="138"/>
      <c r="G34" s="74"/>
      <c r="H34" s="155" t="s">
        <v>32</v>
      </c>
      <c r="I34" s="155">
        <v>35</v>
      </c>
      <c r="J34" s="155"/>
      <c r="K34" s="155"/>
      <c r="L34" s="178" t="s">
        <v>202</v>
      </c>
      <c r="M34" s="179">
        <v>46056</v>
      </c>
      <c r="N34" s="176"/>
      <c r="O34" s="222" t="s">
        <v>225</v>
      </c>
      <c r="P34" s="222">
        <v>5</v>
      </c>
      <c r="Q34" s="222"/>
      <c r="R34" s="222"/>
      <c r="S34" s="181">
        <v>43411</v>
      </c>
      <c r="T34" s="182">
        <v>46065</v>
      </c>
      <c r="U34" s="183"/>
      <c r="V34" s="1"/>
      <c r="W34" s="1"/>
      <c r="X34" s="1"/>
      <c r="Y34" s="1"/>
      <c r="Z34" s="184"/>
      <c r="AA34" s="185"/>
      <c r="AB34" s="1"/>
    </row>
    <row r="35" spans="1:28">
      <c r="A35" s="162">
        <v>46056</v>
      </c>
      <c r="B35" s="163">
        <v>377</v>
      </c>
      <c r="C35" s="163">
        <v>41611</v>
      </c>
      <c r="D35" s="74"/>
      <c r="E35" s="74"/>
      <c r="F35" s="74"/>
      <c r="G35" s="138"/>
      <c r="H35" s="155" t="s">
        <v>35</v>
      </c>
      <c r="I35" s="155">
        <v>35</v>
      </c>
      <c r="J35" s="155"/>
      <c r="K35" s="155"/>
      <c r="L35" s="178" t="s">
        <v>202</v>
      </c>
      <c r="M35" s="179">
        <v>46056</v>
      </c>
      <c r="N35" s="176"/>
      <c r="O35" s="222" t="s">
        <v>234</v>
      </c>
      <c r="P35" s="222">
        <v>10</v>
      </c>
      <c r="Q35" s="222"/>
      <c r="R35" s="222"/>
      <c r="S35" s="181">
        <v>43211</v>
      </c>
      <c r="T35" s="182">
        <v>46066</v>
      </c>
      <c r="U35" s="183"/>
      <c r="V35" s="1"/>
      <c r="W35" s="1"/>
      <c r="X35" s="1"/>
      <c r="Y35" s="1"/>
      <c r="Z35" s="184"/>
      <c r="AA35" s="185"/>
      <c r="AB35" s="1"/>
    </row>
    <row r="36" spans="1:28">
      <c r="A36" s="152"/>
      <c r="B36" s="153"/>
      <c r="C36" s="153"/>
      <c r="D36" s="74"/>
      <c r="E36" s="74"/>
      <c r="F36" s="74"/>
      <c r="G36" s="138"/>
      <c r="H36" s="155" t="s">
        <v>35</v>
      </c>
      <c r="I36" s="155">
        <v>35</v>
      </c>
      <c r="J36" s="155"/>
      <c r="K36" s="155"/>
      <c r="L36" s="178" t="s">
        <v>231</v>
      </c>
      <c r="M36" s="179">
        <v>46066</v>
      </c>
      <c r="N36" s="176"/>
      <c r="O36" s="222" t="s">
        <v>229</v>
      </c>
      <c r="P36" s="222">
        <v>15</v>
      </c>
      <c r="Q36" s="222"/>
      <c r="R36" s="222"/>
      <c r="S36" s="181">
        <v>43211</v>
      </c>
      <c r="T36" s="182">
        <v>46066</v>
      </c>
      <c r="U36" s="183"/>
      <c r="V36" s="1"/>
      <c r="W36" s="2"/>
      <c r="X36" s="1"/>
      <c r="Y36" s="1"/>
      <c r="Z36" s="184"/>
      <c r="AA36" s="185"/>
      <c r="AB36" s="1"/>
    </row>
    <row r="37" spans="1:28">
      <c r="A37" s="152"/>
      <c r="B37" s="153"/>
      <c r="C37" s="153"/>
      <c r="D37" s="74"/>
      <c r="E37" s="74"/>
      <c r="F37" s="74"/>
      <c r="G37" s="74"/>
      <c r="H37" s="155" t="s">
        <v>175</v>
      </c>
      <c r="I37" s="177">
        <v>2</v>
      </c>
      <c r="J37" s="155"/>
      <c r="K37" s="155"/>
      <c r="L37" s="178" t="s">
        <v>194</v>
      </c>
      <c r="M37" s="217">
        <v>46050</v>
      </c>
      <c r="N37" s="176"/>
      <c r="O37" s="222" t="s">
        <v>97</v>
      </c>
      <c r="P37" s="222">
        <v>5</v>
      </c>
      <c r="Q37" s="222"/>
      <c r="R37" s="222"/>
      <c r="S37" s="181">
        <v>41611</v>
      </c>
      <c r="T37" s="182">
        <v>46056</v>
      </c>
      <c r="U37" s="183"/>
      <c r="V37" s="1"/>
      <c r="W37" s="1"/>
      <c r="X37" s="1"/>
      <c r="Y37" s="1"/>
      <c r="Z37" s="184"/>
      <c r="AA37" s="185"/>
      <c r="AB37" s="1"/>
    </row>
    <row r="38" spans="1:28">
      <c r="A38" s="152"/>
      <c r="B38" s="153"/>
      <c r="C38" s="153"/>
      <c r="D38" s="74"/>
      <c r="E38" s="74"/>
      <c r="F38" s="74"/>
      <c r="G38" s="74"/>
      <c r="H38" s="155" t="s">
        <v>196</v>
      </c>
      <c r="I38" s="177">
        <v>3</v>
      </c>
      <c r="J38" s="155"/>
      <c r="K38" s="155"/>
      <c r="L38" s="178">
        <v>41611</v>
      </c>
      <c r="M38" s="179">
        <v>46056</v>
      </c>
      <c r="N38" s="176"/>
      <c r="O38" s="222" t="s">
        <v>78</v>
      </c>
      <c r="P38" s="223">
        <v>20</v>
      </c>
      <c r="Q38" s="222"/>
      <c r="R38" s="222"/>
      <c r="S38" s="181">
        <v>43211</v>
      </c>
      <c r="T38" s="182">
        <v>46066</v>
      </c>
      <c r="U38" s="183"/>
      <c r="V38" s="1"/>
      <c r="W38" s="2"/>
      <c r="X38" s="1"/>
      <c r="Y38" s="1"/>
      <c r="Z38" s="184"/>
      <c r="AA38" s="185"/>
      <c r="AB38" s="1"/>
    </row>
    <row r="39" spans="1:28">
      <c r="A39" s="152">
        <v>46059</v>
      </c>
      <c r="B39" s="156">
        <v>222</v>
      </c>
      <c r="C39" s="156">
        <v>42411</v>
      </c>
      <c r="D39" s="74"/>
      <c r="E39" s="150"/>
      <c r="F39" s="74"/>
      <c r="G39" s="74"/>
      <c r="H39" s="155" t="s">
        <v>196</v>
      </c>
      <c r="I39" s="155">
        <v>80</v>
      </c>
      <c r="J39" s="155"/>
      <c r="K39" s="155"/>
      <c r="L39" s="178">
        <v>43211</v>
      </c>
      <c r="M39" s="179">
        <v>46066</v>
      </c>
      <c r="N39" s="176"/>
      <c r="O39" s="222" t="s">
        <v>213</v>
      </c>
      <c r="P39" s="222">
        <v>30</v>
      </c>
      <c r="Q39" s="222"/>
      <c r="R39" s="222"/>
      <c r="S39" s="181">
        <v>42411</v>
      </c>
      <c r="T39" s="182">
        <v>46059</v>
      </c>
      <c r="U39" s="197"/>
      <c r="V39" s="1"/>
      <c r="W39" s="2"/>
      <c r="X39" s="1"/>
      <c r="Y39" s="1"/>
      <c r="Z39" s="184"/>
      <c r="AA39" s="185"/>
      <c r="AB39" s="1"/>
    </row>
    <row r="40" spans="1:28">
      <c r="A40" s="152"/>
      <c r="B40" s="153"/>
      <c r="C40" s="153"/>
      <c r="D40" s="74"/>
      <c r="E40" s="74"/>
      <c r="F40" s="74"/>
      <c r="G40" s="74"/>
      <c r="H40" s="155" t="s">
        <v>36</v>
      </c>
      <c r="I40" s="177">
        <v>6</v>
      </c>
      <c r="J40" s="155"/>
      <c r="K40" s="155"/>
      <c r="L40" s="178">
        <v>41911</v>
      </c>
      <c r="M40" s="179">
        <v>46056</v>
      </c>
      <c r="N40" s="176"/>
      <c r="O40" s="222" t="s">
        <v>68</v>
      </c>
      <c r="P40" s="222">
        <v>10</v>
      </c>
      <c r="Q40" s="222"/>
      <c r="R40" s="222"/>
      <c r="S40" s="181">
        <v>43411</v>
      </c>
      <c r="T40" s="182">
        <v>46062</v>
      </c>
      <c r="U40" s="183"/>
      <c r="V40" s="1"/>
      <c r="W40" s="2"/>
      <c r="X40" s="1"/>
      <c r="Y40" s="1"/>
      <c r="Z40" s="184"/>
      <c r="AA40" s="185"/>
      <c r="AB40" s="1"/>
    </row>
    <row r="41" spans="1:28">
      <c r="A41" s="152"/>
      <c r="B41" s="153"/>
      <c r="C41" s="153"/>
      <c r="D41" s="74"/>
      <c r="E41" s="74"/>
      <c r="F41" s="74"/>
      <c r="G41" s="170"/>
      <c r="H41" s="155" t="s">
        <v>36</v>
      </c>
      <c r="I41" s="155">
        <v>80</v>
      </c>
      <c r="J41" s="155"/>
      <c r="K41" s="155"/>
      <c r="L41" s="178">
        <v>43411</v>
      </c>
      <c r="M41" s="179">
        <v>46062</v>
      </c>
      <c r="N41" s="176"/>
      <c r="O41" s="222" t="s">
        <v>172</v>
      </c>
      <c r="P41" s="222">
        <v>10</v>
      </c>
      <c r="Q41" s="222"/>
      <c r="R41" s="222"/>
      <c r="S41" s="181">
        <v>42411</v>
      </c>
      <c r="T41" s="182">
        <v>46039</v>
      </c>
      <c r="U41" s="183"/>
      <c r="V41" s="1"/>
      <c r="W41" s="2"/>
      <c r="X41" s="1"/>
      <c r="Y41" s="1"/>
      <c r="Z41" s="184"/>
      <c r="AA41" s="185"/>
      <c r="AB41" s="1"/>
    </row>
    <row r="42" spans="1:28">
      <c r="A42" s="152">
        <v>46062</v>
      </c>
      <c r="B42" s="153">
        <v>444</v>
      </c>
      <c r="C42" s="153">
        <v>43411</v>
      </c>
      <c r="D42" s="74"/>
      <c r="E42" s="74"/>
      <c r="F42" s="74"/>
      <c r="G42" s="138"/>
      <c r="H42" s="155" t="s">
        <v>146</v>
      </c>
      <c r="I42" s="155">
        <v>80</v>
      </c>
      <c r="J42" s="155"/>
      <c r="K42" s="155"/>
      <c r="L42" s="178">
        <v>41411</v>
      </c>
      <c r="M42" s="179">
        <v>46050</v>
      </c>
      <c r="N42" s="176"/>
      <c r="O42" s="222" t="s">
        <v>107</v>
      </c>
      <c r="P42" s="222">
        <v>20</v>
      </c>
      <c r="Q42" s="222"/>
      <c r="R42" s="222"/>
      <c r="S42" s="181">
        <v>41611</v>
      </c>
      <c r="T42" s="182">
        <v>46056</v>
      </c>
      <c r="U42" s="183"/>
      <c r="V42" s="1"/>
      <c r="W42" s="202"/>
      <c r="X42" s="202"/>
      <c r="Y42" s="202"/>
      <c r="Z42" s="184"/>
      <c r="AA42" s="185"/>
      <c r="AB42" s="1"/>
    </row>
    <row r="43" spans="1:28">
      <c r="A43" s="162"/>
      <c r="B43" s="163"/>
      <c r="C43" s="163"/>
      <c r="D43" s="74"/>
      <c r="E43" s="74"/>
      <c r="F43" s="74"/>
      <c r="G43" s="160"/>
      <c r="H43" s="155" t="s">
        <v>185</v>
      </c>
      <c r="I43" s="155">
        <v>25</v>
      </c>
      <c r="J43" s="155"/>
      <c r="K43" s="155"/>
      <c r="L43" s="178">
        <v>41911</v>
      </c>
      <c r="M43" s="179">
        <v>46045</v>
      </c>
      <c r="N43" s="176"/>
      <c r="O43" s="222" t="s">
        <v>166</v>
      </c>
      <c r="P43" s="222">
        <v>10</v>
      </c>
      <c r="Q43" s="222"/>
      <c r="R43" s="222"/>
      <c r="S43" s="181">
        <v>41911</v>
      </c>
      <c r="T43" s="182">
        <v>46051</v>
      </c>
      <c r="U43" s="183"/>
      <c r="V43" s="1"/>
      <c r="W43" s="2"/>
      <c r="X43" s="1"/>
      <c r="Y43" s="1"/>
      <c r="Z43" s="184"/>
      <c r="AA43" s="185"/>
      <c r="AB43" s="1"/>
    </row>
    <row r="44" spans="1:28">
      <c r="A44" s="232"/>
      <c r="B44" s="233"/>
      <c r="C44" s="233"/>
      <c r="D44" s="74"/>
      <c r="E44" s="74"/>
      <c r="F44" s="74"/>
      <c r="G44" s="138"/>
      <c r="H44" s="155"/>
      <c r="I44" s="155"/>
      <c r="J44" s="155"/>
      <c r="K44" s="155"/>
      <c r="L44" s="178"/>
      <c r="M44" s="179"/>
      <c r="N44" s="176"/>
      <c r="O44" s="222" t="s">
        <v>230</v>
      </c>
      <c r="P44" s="222">
        <v>10</v>
      </c>
      <c r="Q44" s="222"/>
      <c r="R44" s="222"/>
      <c r="S44" s="181">
        <v>43211</v>
      </c>
      <c r="T44" s="182">
        <v>46066</v>
      </c>
      <c r="U44" s="183"/>
      <c r="V44" s="1"/>
      <c r="W44" s="2"/>
      <c r="X44" s="1"/>
      <c r="Y44" s="1"/>
      <c r="Z44" s="184"/>
      <c r="AA44" s="185"/>
      <c r="AB44" s="1"/>
    </row>
    <row r="45" spans="1:28">
      <c r="A45" s="230"/>
      <c r="B45" s="260"/>
      <c r="C45" s="260"/>
      <c r="D45" s="160"/>
      <c r="E45" s="74"/>
      <c r="F45" s="74"/>
      <c r="G45" s="138"/>
      <c r="H45" s="155"/>
      <c r="I45" s="155"/>
      <c r="J45" s="155"/>
      <c r="K45" s="155"/>
      <c r="L45" s="178"/>
      <c r="M45" s="179"/>
      <c r="N45" s="176"/>
      <c r="O45" s="222" t="s">
        <v>92</v>
      </c>
      <c r="P45" s="223">
        <v>20</v>
      </c>
      <c r="Q45" s="222"/>
      <c r="R45" s="222"/>
      <c r="S45" s="181">
        <v>42411</v>
      </c>
      <c r="T45" s="182">
        <v>46059</v>
      </c>
      <c r="U45" s="183"/>
      <c r="V45" s="1"/>
      <c r="W45" s="2"/>
      <c r="X45" s="1"/>
      <c r="Y45" s="1"/>
      <c r="Z45" s="184"/>
      <c r="AA45" s="185"/>
      <c r="AB45" s="1"/>
    </row>
    <row r="46" spans="1:28">
      <c r="A46" s="258"/>
      <c r="B46" s="259"/>
      <c r="C46" s="259"/>
      <c r="D46" s="74"/>
      <c r="E46" s="74"/>
      <c r="F46" s="74"/>
      <c r="G46" s="138"/>
      <c r="H46" s="155"/>
      <c r="I46" s="155"/>
      <c r="J46" s="155"/>
      <c r="K46" s="155"/>
      <c r="L46" s="178"/>
      <c r="M46" s="179"/>
      <c r="N46" s="176"/>
      <c r="O46" s="222" t="s">
        <v>24</v>
      </c>
      <c r="P46" s="223">
        <v>10</v>
      </c>
      <c r="Q46" s="222"/>
      <c r="R46" s="222"/>
      <c r="S46" s="181">
        <v>41611</v>
      </c>
      <c r="T46" s="225">
        <v>46056</v>
      </c>
      <c r="U46" s="183"/>
      <c r="V46" s="1"/>
      <c r="W46" s="1"/>
      <c r="X46" s="1"/>
      <c r="Y46" s="1"/>
      <c r="Z46" s="184"/>
      <c r="AA46" s="185"/>
      <c r="AB46" s="1"/>
    </row>
    <row r="47" spans="1:28">
      <c r="A47" s="152"/>
      <c r="B47" s="153"/>
      <c r="C47" s="153"/>
      <c r="D47" s="74"/>
      <c r="E47" s="74"/>
      <c r="F47" s="74"/>
      <c r="G47" s="138"/>
      <c r="H47" s="155"/>
      <c r="I47" s="155"/>
      <c r="J47" s="155"/>
      <c r="K47" s="155"/>
      <c r="L47" s="178"/>
      <c r="M47" s="179"/>
      <c r="N47" s="176"/>
      <c r="O47" s="222" t="s">
        <v>208</v>
      </c>
      <c r="P47" s="223">
        <v>111</v>
      </c>
      <c r="Q47" s="222"/>
      <c r="R47" s="222"/>
      <c r="S47" s="181">
        <v>41911</v>
      </c>
      <c r="T47" s="182">
        <v>46056</v>
      </c>
      <c r="U47" s="183"/>
      <c r="V47" s="1"/>
      <c r="W47" s="2"/>
      <c r="X47" s="1"/>
      <c r="Y47" s="1"/>
      <c r="Z47" s="184"/>
      <c r="AA47" s="185"/>
      <c r="AB47" s="1"/>
    </row>
    <row r="48" spans="1:28">
      <c r="A48" s="168"/>
      <c r="B48" s="169"/>
      <c r="C48" s="169"/>
      <c r="D48" s="74"/>
      <c r="E48" s="170"/>
      <c r="F48" s="74"/>
      <c r="G48" s="138"/>
      <c r="H48" s="155"/>
      <c r="I48" s="155"/>
      <c r="J48" s="155"/>
      <c r="K48" s="155"/>
      <c r="L48" s="178"/>
      <c r="M48" s="179"/>
      <c r="N48" s="176"/>
      <c r="O48" s="222" t="s">
        <v>113</v>
      </c>
      <c r="P48" s="222">
        <v>20</v>
      </c>
      <c r="Q48" s="222"/>
      <c r="R48" s="222"/>
      <c r="S48" s="181">
        <v>43211</v>
      </c>
      <c r="T48" s="182">
        <v>46066</v>
      </c>
      <c r="U48" s="183"/>
      <c r="V48" s="1"/>
      <c r="W48" s="2"/>
      <c r="X48" s="1"/>
      <c r="Y48" s="1"/>
      <c r="Z48" s="184"/>
      <c r="AA48" s="215"/>
      <c r="AB48" s="1"/>
    </row>
    <row r="49" spans="1:28">
      <c r="A49" s="152"/>
      <c r="B49" s="153"/>
      <c r="C49" s="153"/>
      <c r="D49" s="74"/>
      <c r="E49" s="170"/>
      <c r="F49" s="74"/>
      <c r="G49" s="138"/>
      <c r="H49" s="155"/>
      <c r="I49" s="177"/>
      <c r="J49" s="155"/>
      <c r="K49" s="155"/>
      <c r="L49" s="178"/>
      <c r="M49" s="179"/>
      <c r="N49" s="176"/>
      <c r="O49" s="222" t="s">
        <v>25</v>
      </c>
      <c r="P49" s="222">
        <v>25</v>
      </c>
      <c r="Q49" s="222"/>
      <c r="R49" s="222"/>
      <c r="S49" s="181">
        <v>41611</v>
      </c>
      <c r="T49" s="182">
        <v>46056</v>
      </c>
      <c r="U49" s="183"/>
      <c r="V49" s="1"/>
      <c r="W49" s="2"/>
      <c r="X49" s="1"/>
      <c r="Y49" s="1"/>
      <c r="Z49" s="184"/>
      <c r="AA49" s="215"/>
      <c r="AB49" s="1"/>
    </row>
    <row r="50" spans="1:28">
      <c r="A50" s="152"/>
      <c r="B50" s="153"/>
      <c r="C50" s="153"/>
      <c r="D50" s="74"/>
      <c r="E50" s="74"/>
      <c r="F50" s="74"/>
      <c r="G50" s="138"/>
      <c r="H50" s="155"/>
      <c r="I50" s="177"/>
      <c r="J50" s="155"/>
      <c r="K50" s="155"/>
      <c r="L50" s="178"/>
      <c r="M50" s="217"/>
      <c r="N50" s="176"/>
      <c r="O50" s="222" t="s">
        <v>163</v>
      </c>
      <c r="P50" s="222">
        <v>1</v>
      </c>
      <c r="Q50" s="222"/>
      <c r="R50" s="222"/>
      <c r="S50" s="181">
        <v>40911</v>
      </c>
      <c r="T50" s="182">
        <v>46022</v>
      </c>
      <c r="U50" s="183"/>
      <c r="V50" s="1"/>
      <c r="W50" s="2"/>
      <c r="X50" s="1"/>
      <c r="Y50" s="1"/>
      <c r="Z50" s="184"/>
      <c r="AA50" s="215"/>
      <c r="AB50" s="1"/>
    </row>
    <row r="51" spans="1:28">
      <c r="A51" s="218"/>
      <c r="B51" s="219"/>
      <c r="C51" s="219"/>
      <c r="D51" s="158"/>
      <c r="E51" s="74"/>
      <c r="F51" s="74"/>
      <c r="G51" s="138"/>
      <c r="H51" s="155"/>
      <c r="I51" s="177"/>
      <c r="J51" s="155"/>
      <c r="K51" s="155"/>
      <c r="L51" s="178"/>
      <c r="M51" s="179"/>
      <c r="N51" s="176"/>
      <c r="O51" s="222" t="s">
        <v>199</v>
      </c>
      <c r="P51" s="222">
        <v>11</v>
      </c>
      <c r="Q51" s="222"/>
      <c r="R51" s="222"/>
      <c r="S51" s="181">
        <v>41611</v>
      </c>
      <c r="T51" s="182">
        <v>46056</v>
      </c>
      <c r="U51" s="183"/>
      <c r="V51" s="263"/>
      <c r="W51" s="2"/>
      <c r="X51" s="1"/>
      <c r="Y51" s="1"/>
      <c r="Z51" s="184"/>
      <c r="AA51" s="185"/>
      <c r="AB51" s="1"/>
    </row>
    <row r="52" spans="1:28">
      <c r="A52" s="152"/>
      <c r="B52" s="153"/>
      <c r="C52" s="153"/>
      <c r="D52" s="74"/>
      <c r="E52" s="170"/>
      <c r="F52" s="74"/>
      <c r="G52" s="138"/>
      <c r="H52" s="155"/>
      <c r="I52" s="155"/>
      <c r="J52" s="155"/>
      <c r="K52" s="155"/>
      <c r="L52" s="178"/>
      <c r="M52" s="179"/>
      <c r="N52" s="176"/>
      <c r="O52" s="222" t="s">
        <v>26</v>
      </c>
      <c r="P52" s="222">
        <v>50</v>
      </c>
      <c r="Q52" s="222"/>
      <c r="R52" s="222"/>
      <c r="S52" s="181">
        <v>43411</v>
      </c>
      <c r="T52" s="182">
        <v>46062</v>
      </c>
      <c r="U52" s="183"/>
      <c r="V52" s="1"/>
      <c r="W52" s="2"/>
      <c r="X52" s="1"/>
      <c r="Y52" s="1"/>
      <c r="Z52" s="184"/>
      <c r="AA52" s="215"/>
      <c r="AB52" s="1"/>
    </row>
    <row r="53" spans="1:28">
      <c r="A53" s="230"/>
      <c r="B53" s="201"/>
      <c r="C53" s="201"/>
      <c r="D53" s="74"/>
      <c r="E53" s="170"/>
      <c r="F53" s="74"/>
      <c r="G53" s="138"/>
      <c r="H53" s="155"/>
      <c r="I53" s="204"/>
      <c r="J53" s="204"/>
      <c r="K53" s="204"/>
      <c r="L53" s="178"/>
      <c r="M53" s="217"/>
      <c r="N53" s="176"/>
      <c r="O53" s="222" t="s">
        <v>210</v>
      </c>
      <c r="P53" s="222">
        <v>25</v>
      </c>
      <c r="Q53" s="222"/>
      <c r="R53" s="222"/>
      <c r="S53" s="181">
        <v>42811</v>
      </c>
      <c r="T53" s="182">
        <v>46057</v>
      </c>
      <c r="U53" s="197"/>
      <c r="V53" s="1"/>
      <c r="W53" s="2"/>
      <c r="X53" s="1"/>
      <c r="Y53" s="1"/>
      <c r="Z53" s="184"/>
      <c r="AA53" s="185"/>
      <c r="AB53" s="1"/>
    </row>
    <row r="54" spans="1:28" ht="15.75">
      <c r="A54" s="234" t="s">
        <v>98</v>
      </c>
      <c r="B54" s="153"/>
      <c r="C54" s="153"/>
      <c r="D54" s="74"/>
      <c r="E54" s="170"/>
      <c r="F54" s="74"/>
      <c r="G54" s="138"/>
      <c r="H54" s="155"/>
      <c r="I54" s="155"/>
      <c r="J54" s="155"/>
      <c r="K54" s="155"/>
      <c r="L54" s="178"/>
      <c r="M54" s="179"/>
      <c r="N54" s="176"/>
      <c r="O54" s="222" t="s">
        <v>209</v>
      </c>
      <c r="P54" s="222">
        <v>4</v>
      </c>
      <c r="Q54" s="222"/>
      <c r="R54" s="222"/>
      <c r="S54" s="181">
        <v>42811</v>
      </c>
      <c r="T54" s="182">
        <v>46057</v>
      </c>
      <c r="U54" s="183"/>
      <c r="V54" s="1"/>
      <c r="W54" s="2"/>
      <c r="X54" s="1"/>
      <c r="Y54" s="1"/>
      <c r="Z54" s="184"/>
      <c r="AA54" s="185"/>
      <c r="AB54" s="1"/>
    </row>
    <row r="55" spans="1:28">
      <c r="A55" s="152"/>
      <c r="B55" s="153"/>
      <c r="C55" s="153"/>
      <c r="D55" s="74"/>
      <c r="E55" s="170"/>
      <c r="F55" s="74"/>
      <c r="G55" s="159">
        <f>SUM(B55:B73)</f>
        <v>927</v>
      </c>
      <c r="H55" s="155"/>
      <c r="I55" s="155"/>
      <c r="J55" s="155"/>
      <c r="K55" s="155"/>
      <c r="L55" s="178"/>
      <c r="M55" s="179"/>
      <c r="N55" s="176"/>
      <c r="O55" s="222" t="s">
        <v>209</v>
      </c>
      <c r="P55" s="222">
        <v>80</v>
      </c>
      <c r="Q55" s="222"/>
      <c r="R55" s="222"/>
      <c r="S55" s="181">
        <v>43411</v>
      </c>
      <c r="T55" s="182">
        <v>46062</v>
      </c>
      <c r="U55" s="183"/>
      <c r="V55" s="1"/>
      <c r="W55" s="2"/>
      <c r="X55" s="1"/>
      <c r="Y55" s="1"/>
      <c r="Z55" s="184"/>
      <c r="AA55" s="185"/>
      <c r="AB55" s="1"/>
    </row>
    <row r="56" spans="1:28">
      <c r="A56" s="152">
        <v>46004</v>
      </c>
      <c r="B56" s="153">
        <v>46</v>
      </c>
      <c r="C56" s="153">
        <v>36611</v>
      </c>
      <c r="D56" s="74"/>
      <c r="E56" s="170"/>
      <c r="F56" s="74"/>
      <c r="G56" s="138"/>
      <c r="H56" s="155"/>
      <c r="I56" s="155"/>
      <c r="J56" s="155"/>
      <c r="K56" s="155"/>
      <c r="L56" s="178"/>
      <c r="M56" s="179"/>
      <c r="N56" s="176"/>
      <c r="O56" s="222" t="s">
        <v>160</v>
      </c>
      <c r="P56" s="222">
        <v>3</v>
      </c>
      <c r="Q56" s="222"/>
      <c r="R56" s="222"/>
      <c r="S56" s="181">
        <v>42411</v>
      </c>
      <c r="T56" s="182">
        <v>46039</v>
      </c>
      <c r="U56" s="183"/>
      <c r="V56" s="1"/>
      <c r="W56" s="202"/>
      <c r="X56" s="202"/>
      <c r="Y56" s="202"/>
      <c r="Z56" s="184"/>
      <c r="AA56" s="185"/>
      <c r="AB56" s="1"/>
    </row>
    <row r="57" spans="1:28">
      <c r="A57" s="152">
        <v>46006</v>
      </c>
      <c r="B57" s="153">
        <v>195</v>
      </c>
      <c r="C57" s="153">
        <v>36811</v>
      </c>
      <c r="D57" s="74"/>
      <c r="E57" s="170"/>
      <c r="F57" s="74"/>
      <c r="G57" s="138"/>
      <c r="H57" s="155"/>
      <c r="I57" s="155"/>
      <c r="J57" s="155"/>
      <c r="K57" s="155"/>
      <c r="L57" s="178"/>
      <c r="M57" s="179"/>
      <c r="N57" s="176"/>
      <c r="O57" s="222" t="s">
        <v>207</v>
      </c>
      <c r="P57" s="222">
        <v>75</v>
      </c>
      <c r="Q57" s="222"/>
      <c r="R57" s="222"/>
      <c r="S57" s="181">
        <v>41611</v>
      </c>
      <c r="T57" s="182">
        <v>46056</v>
      </c>
      <c r="U57" s="183"/>
      <c r="V57" s="1"/>
      <c r="W57" s="202"/>
      <c r="X57" s="202"/>
      <c r="Y57" s="202"/>
      <c r="Z57" s="184"/>
      <c r="AA57" s="215"/>
      <c r="AB57" s="1"/>
    </row>
    <row r="58" spans="1:28">
      <c r="A58" s="152">
        <v>46010</v>
      </c>
      <c r="B58" s="153">
        <v>9</v>
      </c>
      <c r="C58" s="153">
        <v>38111</v>
      </c>
      <c r="D58" s="74"/>
      <c r="E58" s="170"/>
      <c r="F58" s="74"/>
      <c r="G58" s="138"/>
      <c r="H58" s="155"/>
      <c r="I58" s="155"/>
      <c r="J58" s="155"/>
      <c r="K58" s="155"/>
      <c r="L58" s="178"/>
      <c r="M58" s="179"/>
      <c r="N58" s="176"/>
      <c r="O58" s="222" t="s">
        <v>151</v>
      </c>
      <c r="P58" s="222">
        <v>62</v>
      </c>
      <c r="Q58" s="222"/>
      <c r="R58" s="222"/>
      <c r="S58" s="181">
        <v>41911</v>
      </c>
      <c r="T58" s="182">
        <v>46045</v>
      </c>
      <c r="U58" s="183"/>
      <c r="V58" s="1"/>
      <c r="W58" s="2"/>
      <c r="X58" s="1"/>
      <c r="Y58" s="1"/>
      <c r="Z58" s="184"/>
      <c r="AA58" s="185"/>
      <c r="AB58" s="1"/>
    </row>
    <row r="59" spans="1:28">
      <c r="A59" s="152">
        <v>46011</v>
      </c>
      <c r="B59" s="153">
        <v>111</v>
      </c>
      <c r="C59" s="153">
        <v>38211</v>
      </c>
      <c r="D59" s="74"/>
      <c r="E59" s="74"/>
      <c r="F59" s="74"/>
      <c r="G59" s="138"/>
      <c r="H59" s="155"/>
      <c r="I59" s="155"/>
      <c r="J59" s="155"/>
      <c r="K59" s="155"/>
      <c r="L59" s="178"/>
      <c r="M59" s="179"/>
      <c r="N59" s="176"/>
      <c r="O59" s="222" t="s">
        <v>29</v>
      </c>
      <c r="P59" s="222">
        <v>60</v>
      </c>
      <c r="Q59" s="222"/>
      <c r="R59" s="222"/>
      <c r="S59" s="181">
        <v>41911</v>
      </c>
      <c r="T59" s="182">
        <v>46056</v>
      </c>
      <c r="U59" s="183"/>
      <c r="V59" s="1"/>
      <c r="W59" s="2"/>
      <c r="X59" s="1"/>
      <c r="Y59" s="1"/>
      <c r="Z59" s="184"/>
      <c r="AA59" s="185"/>
      <c r="AB59" s="186"/>
    </row>
    <row r="60" spans="1:28">
      <c r="A60" s="152">
        <v>46013</v>
      </c>
      <c r="B60" s="153">
        <v>111</v>
      </c>
      <c r="C60" s="153">
        <v>38911</v>
      </c>
      <c r="D60" s="74"/>
      <c r="E60" s="74"/>
      <c r="F60" s="74"/>
      <c r="G60" s="138"/>
      <c r="H60" s="155"/>
      <c r="I60" s="155"/>
      <c r="J60" s="155"/>
      <c r="K60" s="155"/>
      <c r="L60" s="178"/>
      <c r="M60" s="179"/>
      <c r="N60" s="176"/>
      <c r="O60" s="222" t="s">
        <v>157</v>
      </c>
      <c r="P60" s="222">
        <v>15</v>
      </c>
      <c r="Q60" s="222"/>
      <c r="R60" s="222"/>
      <c r="S60" s="181">
        <v>39311</v>
      </c>
      <c r="T60" s="182">
        <v>46019</v>
      </c>
      <c r="U60" s="183"/>
      <c r="V60" s="1"/>
      <c r="W60" s="2"/>
      <c r="X60" s="1"/>
      <c r="Y60" s="1"/>
      <c r="Z60" s="184"/>
      <c r="AA60" s="215"/>
      <c r="AB60" s="1"/>
    </row>
    <row r="61" spans="1:28">
      <c r="A61" s="152">
        <v>46013</v>
      </c>
      <c r="B61" s="153">
        <v>111</v>
      </c>
      <c r="C61" s="153">
        <v>38711</v>
      </c>
      <c r="D61" s="74"/>
      <c r="E61" s="170"/>
      <c r="F61" s="74"/>
      <c r="G61" s="138"/>
      <c r="H61" s="155"/>
      <c r="I61" s="155"/>
      <c r="J61" s="155"/>
      <c r="K61" s="155"/>
      <c r="L61" s="178"/>
      <c r="M61" s="179"/>
      <c r="N61" s="176"/>
      <c r="O61" s="222" t="s">
        <v>87</v>
      </c>
      <c r="P61" s="222">
        <v>10</v>
      </c>
      <c r="Q61" s="222"/>
      <c r="R61" s="222"/>
      <c r="S61" s="181">
        <v>42411</v>
      </c>
      <c r="T61" s="182">
        <v>46059</v>
      </c>
      <c r="U61" s="183"/>
      <c r="V61" s="1"/>
      <c r="W61" s="2"/>
      <c r="X61" s="1"/>
      <c r="Y61" s="1"/>
      <c r="Z61" s="184"/>
      <c r="AA61" s="215"/>
      <c r="AB61" s="1"/>
    </row>
    <row r="62" spans="1:28">
      <c r="A62" s="152">
        <v>46018</v>
      </c>
      <c r="B62" s="153">
        <v>111</v>
      </c>
      <c r="C62" s="153">
        <v>38811</v>
      </c>
      <c r="D62" s="74"/>
      <c r="E62" s="170"/>
      <c r="F62" s="74"/>
      <c r="G62" s="138"/>
      <c r="H62" s="155"/>
      <c r="I62" s="155"/>
      <c r="J62" s="155"/>
      <c r="K62" s="155"/>
      <c r="L62" s="178"/>
      <c r="M62" s="179"/>
      <c r="N62" s="176"/>
      <c r="O62" s="222" t="s">
        <v>87</v>
      </c>
      <c r="P62" s="222">
        <v>10</v>
      </c>
      <c r="Q62" s="222"/>
      <c r="R62" s="222"/>
      <c r="S62" s="181">
        <v>43211</v>
      </c>
      <c r="T62" s="182">
        <v>46066</v>
      </c>
      <c r="U62" s="183"/>
      <c r="V62" s="1"/>
      <c r="W62" s="202"/>
      <c r="X62" s="202"/>
      <c r="Y62" s="202"/>
      <c r="Z62" s="184"/>
      <c r="AA62" s="185"/>
      <c r="AB62" s="1"/>
    </row>
    <row r="63" spans="1:28">
      <c r="A63" s="152">
        <v>46019</v>
      </c>
      <c r="B63" s="153">
        <v>1</v>
      </c>
      <c r="C63" s="153">
        <v>39311</v>
      </c>
      <c r="D63" s="74"/>
      <c r="E63" s="170"/>
      <c r="F63" s="74"/>
      <c r="G63" s="138"/>
      <c r="H63" s="155"/>
      <c r="I63" s="155"/>
      <c r="J63" s="155"/>
      <c r="K63" s="155"/>
      <c r="L63" s="178"/>
      <c r="M63" s="179"/>
      <c r="N63" s="176"/>
      <c r="O63" s="222" t="s">
        <v>173</v>
      </c>
      <c r="P63" s="222">
        <v>26</v>
      </c>
      <c r="Q63" s="222"/>
      <c r="R63" s="222"/>
      <c r="S63" s="181">
        <v>42411</v>
      </c>
      <c r="T63" s="182">
        <v>46039</v>
      </c>
      <c r="U63" s="183"/>
      <c r="V63" s="1"/>
      <c r="W63" s="202"/>
      <c r="X63" s="202"/>
      <c r="Y63" s="202"/>
      <c r="Z63" s="184"/>
      <c r="AA63" s="185"/>
      <c r="AB63" s="1"/>
    </row>
    <row r="64" spans="1:28">
      <c r="A64" s="152">
        <v>46019</v>
      </c>
      <c r="B64" s="153">
        <v>112</v>
      </c>
      <c r="C64" s="153">
        <v>39811</v>
      </c>
      <c r="D64" s="74"/>
      <c r="E64" s="170"/>
      <c r="F64" s="74"/>
      <c r="G64" s="138"/>
      <c r="H64" s="155"/>
      <c r="I64" s="177"/>
      <c r="J64" s="155"/>
      <c r="K64" s="155"/>
      <c r="L64" s="178"/>
      <c r="M64" s="217"/>
      <c r="N64" s="176"/>
      <c r="O64" s="222" t="s">
        <v>100</v>
      </c>
      <c r="P64" s="222">
        <v>7</v>
      </c>
      <c r="Q64" s="222"/>
      <c r="R64" s="222"/>
      <c r="S64" s="181">
        <v>43411</v>
      </c>
      <c r="T64" s="182">
        <v>46062</v>
      </c>
      <c r="U64" s="183"/>
      <c r="V64" s="1"/>
      <c r="W64" s="2"/>
      <c r="X64" s="1"/>
      <c r="Y64" s="1"/>
      <c r="Z64" s="184"/>
      <c r="AA64" s="215"/>
      <c r="AB64" s="1"/>
    </row>
    <row r="65" spans="1:28">
      <c r="A65" s="152">
        <v>46023</v>
      </c>
      <c r="B65" s="153">
        <v>9</v>
      </c>
      <c r="C65" s="153">
        <v>41911</v>
      </c>
      <c r="D65" s="74"/>
      <c r="E65" s="170"/>
      <c r="F65" s="74"/>
      <c r="G65" s="138"/>
      <c r="H65" s="155"/>
      <c r="I65" s="155"/>
      <c r="J65" s="155"/>
      <c r="K65" s="155"/>
      <c r="L65" s="178"/>
      <c r="M65" s="217"/>
      <c r="N65" s="176"/>
      <c r="O65" s="222" t="s">
        <v>198</v>
      </c>
      <c r="P65" s="222">
        <v>71</v>
      </c>
      <c r="Q65" s="222"/>
      <c r="R65" s="222"/>
      <c r="S65" s="181">
        <v>41611</v>
      </c>
      <c r="T65" s="182">
        <v>46056</v>
      </c>
      <c r="U65" s="183"/>
      <c r="V65" s="1"/>
      <c r="W65" s="2"/>
      <c r="X65" s="1"/>
      <c r="Y65" s="1"/>
      <c r="Z65" s="184"/>
      <c r="AA65" s="215"/>
      <c r="AB65" s="1"/>
    </row>
    <row r="66" spans="1:28">
      <c r="A66" s="152">
        <v>46036</v>
      </c>
      <c r="B66" s="153">
        <v>74</v>
      </c>
      <c r="C66" s="153">
        <v>41611</v>
      </c>
      <c r="D66" s="74"/>
      <c r="E66" s="170"/>
      <c r="F66" s="74"/>
      <c r="G66" s="138"/>
      <c r="H66" s="155"/>
      <c r="I66" s="177"/>
      <c r="J66" s="155"/>
      <c r="K66" s="155"/>
      <c r="L66" s="178"/>
      <c r="M66" s="179"/>
      <c r="N66" s="176"/>
      <c r="O66" s="222" t="s">
        <v>198</v>
      </c>
      <c r="P66" s="222">
        <v>51</v>
      </c>
      <c r="Q66" s="222"/>
      <c r="R66" s="222"/>
      <c r="S66" s="181">
        <v>43211</v>
      </c>
      <c r="T66" s="182">
        <v>46066</v>
      </c>
      <c r="U66" s="197"/>
      <c r="V66" s="1"/>
      <c r="W66" s="2"/>
      <c r="X66" s="1"/>
      <c r="Y66" s="1"/>
      <c r="Z66" s="184"/>
      <c r="AA66" s="185"/>
      <c r="AB66" s="1"/>
    </row>
    <row r="67" spans="1:28">
      <c r="A67" s="162">
        <v>46039</v>
      </c>
      <c r="B67" s="163">
        <v>9</v>
      </c>
      <c r="C67" s="163">
        <v>42411</v>
      </c>
      <c r="D67" s="74"/>
      <c r="E67" s="170"/>
      <c r="F67" s="74"/>
      <c r="G67" s="138"/>
      <c r="H67" s="155"/>
      <c r="I67" s="204"/>
      <c r="J67" s="204"/>
      <c r="K67" s="204"/>
      <c r="L67" s="178"/>
      <c r="M67" s="217"/>
      <c r="N67" s="176"/>
      <c r="O67" s="222" t="s">
        <v>34</v>
      </c>
      <c r="P67" s="222">
        <v>21</v>
      </c>
      <c r="Q67" s="222"/>
      <c r="R67" s="222"/>
      <c r="S67" s="181">
        <v>42411</v>
      </c>
      <c r="T67" s="182">
        <v>46059</v>
      </c>
      <c r="U67" s="183"/>
      <c r="V67" s="1"/>
      <c r="W67" s="1"/>
      <c r="X67" s="1"/>
      <c r="Y67" s="1"/>
      <c r="Z67" s="184"/>
      <c r="AA67" s="215"/>
      <c r="AB67" s="1"/>
    </row>
    <row r="68" spans="1:28">
      <c r="A68" s="162">
        <v>46050</v>
      </c>
      <c r="B68" s="163">
        <v>28</v>
      </c>
      <c r="C68" s="163">
        <v>41411</v>
      </c>
      <c r="D68" s="74"/>
      <c r="E68" s="170"/>
      <c r="F68" s="74"/>
      <c r="G68" s="138"/>
      <c r="H68" s="155"/>
      <c r="I68" s="177"/>
      <c r="J68" s="155"/>
      <c r="K68" s="155"/>
      <c r="L68" s="178"/>
      <c r="M68" s="179"/>
      <c r="N68" s="176"/>
      <c r="O68" s="222" t="s">
        <v>34</v>
      </c>
      <c r="P68" s="222">
        <v>82</v>
      </c>
      <c r="Q68" s="222"/>
      <c r="R68" s="222"/>
      <c r="S68" s="181">
        <v>43411</v>
      </c>
      <c r="T68" s="182">
        <v>46062</v>
      </c>
      <c r="U68" s="183"/>
      <c r="V68" s="1"/>
      <c r="W68" s="2"/>
      <c r="X68" s="1"/>
      <c r="Y68" s="1"/>
      <c r="Z68" s="184"/>
      <c r="AA68" s="215"/>
      <c r="AB68" s="1"/>
    </row>
    <row r="69" spans="1:28">
      <c r="A69" s="152"/>
      <c r="B69" s="153"/>
      <c r="C69" s="153"/>
      <c r="D69" s="74"/>
      <c r="E69" s="170"/>
      <c r="F69" s="74"/>
      <c r="G69" s="138"/>
      <c r="H69" s="155"/>
      <c r="I69" s="177"/>
      <c r="J69" s="155"/>
      <c r="K69" s="155"/>
      <c r="L69" s="178"/>
      <c r="M69" s="179"/>
      <c r="N69" s="176"/>
      <c r="O69" s="222" t="s">
        <v>169</v>
      </c>
      <c r="P69" s="222">
        <v>6</v>
      </c>
      <c r="Q69" s="222"/>
      <c r="R69" s="222"/>
      <c r="S69" s="181">
        <v>41611</v>
      </c>
      <c r="T69" s="182">
        <v>46037</v>
      </c>
      <c r="U69" s="183"/>
      <c r="V69" s="1"/>
      <c r="W69" s="1"/>
      <c r="X69" s="1"/>
      <c r="Y69" s="1"/>
      <c r="Z69" s="184"/>
      <c r="AA69" s="215"/>
      <c r="AB69" s="1"/>
    </row>
    <row r="70" spans="1:28">
      <c r="A70" s="152"/>
      <c r="B70" s="153"/>
      <c r="C70" s="153"/>
      <c r="D70" s="74"/>
      <c r="E70" s="170"/>
      <c r="F70" s="74"/>
      <c r="G70" s="138"/>
      <c r="H70" s="155"/>
      <c r="I70" s="177"/>
      <c r="J70" s="155"/>
      <c r="K70" s="155"/>
      <c r="L70" s="178"/>
      <c r="M70" s="217"/>
      <c r="N70" s="176"/>
      <c r="O70" s="222" t="s">
        <v>169</v>
      </c>
      <c r="P70" s="222">
        <v>71</v>
      </c>
      <c r="Q70" s="222"/>
      <c r="R70" s="222"/>
      <c r="S70" s="181">
        <v>41911</v>
      </c>
      <c r="T70" s="182">
        <v>46044</v>
      </c>
      <c r="U70" s="183"/>
      <c r="V70" s="1"/>
      <c r="W70" s="2"/>
      <c r="X70" s="1"/>
      <c r="Y70" s="1"/>
      <c r="Z70" s="184"/>
      <c r="AA70" s="215"/>
      <c r="AB70" s="1"/>
    </row>
    <row r="71" spans="1:28">
      <c r="A71" s="230"/>
      <c r="B71" s="260"/>
      <c r="C71" s="260"/>
      <c r="D71" s="74"/>
      <c r="E71" s="170"/>
      <c r="F71" s="74"/>
      <c r="G71" s="138"/>
      <c r="H71" s="155"/>
      <c r="I71" s="177"/>
      <c r="J71" s="155"/>
      <c r="K71" s="155"/>
      <c r="L71" s="178"/>
      <c r="M71" s="217"/>
      <c r="N71" s="176"/>
      <c r="O71" s="222"/>
      <c r="P71" s="222"/>
      <c r="Q71" s="222"/>
      <c r="R71" s="222"/>
      <c r="S71" s="181"/>
      <c r="T71" s="182"/>
      <c r="U71" s="183"/>
      <c r="V71" s="1"/>
      <c r="W71" s="2"/>
      <c r="X71" s="1"/>
      <c r="Y71" s="1"/>
      <c r="Z71" s="184"/>
      <c r="AA71" s="215"/>
      <c r="AB71" s="1"/>
    </row>
    <row r="72" spans="1:28">
      <c r="A72" s="152"/>
      <c r="B72" s="153"/>
      <c r="C72" s="153"/>
      <c r="D72" s="74"/>
      <c r="E72" s="170"/>
      <c r="F72" s="74"/>
      <c r="G72" s="138"/>
      <c r="H72" s="155"/>
      <c r="I72" s="177"/>
      <c r="J72" s="155"/>
      <c r="K72" s="155"/>
      <c r="L72" s="178"/>
      <c r="M72" s="179"/>
      <c r="N72" s="176"/>
      <c r="O72" s="222"/>
      <c r="P72" s="223"/>
      <c r="Q72" s="222"/>
      <c r="R72" s="222"/>
      <c r="S72" s="181"/>
      <c r="T72" s="182"/>
      <c r="U72" s="183"/>
      <c r="V72" s="1"/>
      <c r="W72" s="2"/>
      <c r="X72" s="1"/>
      <c r="Y72" s="1"/>
      <c r="Z72" s="184"/>
      <c r="AA72" s="185"/>
      <c r="AB72" s="1"/>
    </row>
    <row r="73" spans="1:28">
      <c r="A73" s="152"/>
      <c r="B73" s="153"/>
      <c r="C73" s="153"/>
      <c r="D73" s="74"/>
      <c r="E73" s="170"/>
      <c r="F73" s="74"/>
      <c r="G73" s="138"/>
      <c r="H73" s="155"/>
      <c r="I73" s="155"/>
      <c r="J73" s="155"/>
      <c r="K73" s="155"/>
      <c r="L73" s="178"/>
      <c r="M73" s="179"/>
      <c r="N73" s="176"/>
      <c r="O73" s="222"/>
      <c r="P73" s="222"/>
      <c r="Q73" s="222"/>
      <c r="R73" s="222"/>
      <c r="S73" s="181"/>
      <c r="T73" s="182"/>
      <c r="U73" s="183"/>
      <c r="V73" s="1"/>
      <c r="W73" s="1"/>
      <c r="X73" s="1"/>
      <c r="Y73" s="1"/>
      <c r="Z73" s="184"/>
      <c r="AA73" s="185"/>
      <c r="AB73" s="1"/>
    </row>
    <row r="74" spans="1:28">
      <c r="A74" s="152"/>
      <c r="B74" s="153"/>
      <c r="C74" s="153"/>
      <c r="D74" s="74"/>
      <c r="E74" s="170"/>
      <c r="F74" s="74"/>
      <c r="G74" s="138"/>
      <c r="H74" s="155"/>
      <c r="I74" s="177"/>
      <c r="J74" s="155"/>
      <c r="K74" s="155"/>
      <c r="L74" s="178"/>
      <c r="M74" s="179"/>
      <c r="N74" s="176"/>
      <c r="O74" s="222"/>
      <c r="P74" s="222"/>
      <c r="Q74" s="222"/>
      <c r="R74" s="222"/>
      <c r="S74" s="181"/>
      <c r="T74" s="182"/>
      <c r="U74" s="183"/>
      <c r="V74" s="1"/>
      <c r="W74" s="2"/>
      <c r="X74" s="1"/>
      <c r="Y74" s="1"/>
      <c r="Z74" s="184"/>
      <c r="AA74" s="185"/>
      <c r="AB74" s="1"/>
    </row>
    <row r="75" spans="1:28">
      <c r="A75" s="152"/>
      <c r="B75" s="153"/>
      <c r="C75" s="153"/>
      <c r="D75" s="74"/>
      <c r="E75" s="170"/>
      <c r="F75" s="74"/>
      <c r="G75" s="138"/>
      <c r="H75" s="155"/>
      <c r="I75" s="155"/>
      <c r="J75" s="155"/>
      <c r="K75" s="155"/>
      <c r="L75" s="178"/>
      <c r="M75" s="179"/>
      <c r="N75" s="176"/>
      <c r="O75" s="222"/>
      <c r="P75" s="222"/>
      <c r="Q75" s="222"/>
      <c r="R75" s="222"/>
      <c r="S75" s="181"/>
      <c r="T75" s="182"/>
      <c r="U75" s="183"/>
      <c r="V75" s="1"/>
      <c r="W75" s="2"/>
      <c r="X75" s="1"/>
      <c r="Y75" s="1"/>
      <c r="Z75" s="184"/>
      <c r="AA75" s="215"/>
      <c r="AB75" s="1"/>
    </row>
    <row r="76" spans="1:28">
      <c r="A76" s="152"/>
      <c r="B76" s="153"/>
      <c r="C76" s="153"/>
      <c r="D76" s="74"/>
      <c r="E76" s="170"/>
      <c r="F76" s="74"/>
      <c r="G76" s="138"/>
      <c r="H76" s="155"/>
      <c r="I76" s="177"/>
      <c r="J76" s="155"/>
      <c r="K76" s="155"/>
      <c r="L76" s="178"/>
      <c r="M76" s="217"/>
      <c r="N76" s="176"/>
      <c r="O76" s="222"/>
      <c r="P76" s="222"/>
      <c r="Q76" s="222"/>
      <c r="R76" s="222"/>
      <c r="S76" s="181"/>
      <c r="T76" s="182"/>
      <c r="U76" s="183"/>
      <c r="V76" s="1"/>
      <c r="W76" s="1"/>
      <c r="X76" s="1"/>
      <c r="Y76" s="1"/>
      <c r="Z76" s="184"/>
      <c r="AA76" s="185"/>
      <c r="AB76" s="1"/>
    </row>
    <row r="77" spans="1:28">
      <c r="A77" s="152"/>
      <c r="B77" s="153"/>
      <c r="C77" s="153"/>
      <c r="D77" s="74"/>
      <c r="E77" s="170"/>
      <c r="F77" s="74"/>
      <c r="G77" s="138"/>
      <c r="H77" s="155"/>
      <c r="I77" s="177"/>
      <c r="J77" s="155"/>
      <c r="K77" s="155"/>
      <c r="L77" s="178"/>
      <c r="M77" s="217"/>
      <c r="N77" s="176"/>
      <c r="O77" s="222"/>
      <c r="P77" s="222"/>
      <c r="Q77" s="222"/>
      <c r="R77" s="222"/>
      <c r="S77" s="181"/>
      <c r="T77" s="182"/>
      <c r="U77" s="183"/>
      <c r="V77" s="1"/>
      <c r="W77" s="1"/>
      <c r="X77" s="1"/>
      <c r="Y77" s="1"/>
      <c r="Z77" s="184"/>
      <c r="AA77" s="185"/>
      <c r="AB77" s="1"/>
    </row>
    <row r="78" spans="1:28">
      <c r="A78" s="152"/>
      <c r="B78" s="153"/>
      <c r="C78" s="153"/>
      <c r="D78" s="74"/>
      <c r="E78" s="170"/>
      <c r="F78" s="74"/>
      <c r="G78" s="138"/>
      <c r="H78" s="236"/>
      <c r="I78" s="155"/>
      <c r="J78" s="155"/>
      <c r="K78" s="155"/>
      <c r="L78" s="178"/>
      <c r="M78" s="179"/>
      <c r="N78" s="176"/>
      <c r="O78" s="222"/>
      <c r="P78" s="222"/>
      <c r="Q78" s="222"/>
      <c r="R78" s="222"/>
      <c r="S78" s="181"/>
      <c r="T78" s="182"/>
      <c r="U78" s="183"/>
      <c r="V78" s="1"/>
      <c r="W78" s="2"/>
      <c r="X78" s="1"/>
      <c r="Y78" s="1"/>
      <c r="Z78" s="184"/>
      <c r="AA78" s="215"/>
      <c r="AB78" s="1"/>
    </row>
    <row r="79" spans="1:28">
      <c r="A79" s="152"/>
      <c r="B79" s="153"/>
      <c r="C79" s="153"/>
      <c r="D79" s="74"/>
      <c r="E79" s="170"/>
      <c r="F79" s="74"/>
      <c r="G79" s="138"/>
      <c r="H79" s="155"/>
      <c r="I79" s="155"/>
      <c r="J79" s="155"/>
      <c r="K79" s="155"/>
      <c r="L79" s="178"/>
      <c r="M79" s="179"/>
      <c r="N79" s="176"/>
      <c r="O79" s="222"/>
      <c r="P79" s="222"/>
      <c r="Q79" s="222"/>
      <c r="R79" s="222"/>
      <c r="S79" s="181"/>
      <c r="T79" s="182"/>
      <c r="U79" s="183"/>
      <c r="V79" s="1"/>
      <c r="W79" s="1"/>
      <c r="X79" s="1"/>
      <c r="Y79" s="1"/>
      <c r="Z79" s="184"/>
      <c r="AA79" s="185"/>
      <c r="AB79" s="1"/>
    </row>
    <row r="80" spans="1:28">
      <c r="A80" s="152"/>
      <c r="B80" s="153"/>
      <c r="C80" s="153"/>
      <c r="D80" s="74"/>
      <c r="E80" s="170"/>
      <c r="F80" s="74"/>
      <c r="G80" s="138"/>
      <c r="H80" s="155"/>
      <c r="I80" s="204"/>
      <c r="J80" s="204"/>
      <c r="K80" s="204"/>
      <c r="L80" s="178"/>
      <c r="M80" s="179"/>
      <c r="N80" s="176"/>
      <c r="O80" s="222"/>
      <c r="P80" s="223"/>
      <c r="Q80" s="222"/>
      <c r="R80" s="222"/>
      <c r="S80" s="181"/>
      <c r="T80" s="182"/>
      <c r="U80" s="183"/>
      <c r="V80" s="1"/>
      <c r="W80" s="2"/>
      <c r="X80" s="1"/>
      <c r="Y80" s="1"/>
      <c r="Z80" s="184"/>
      <c r="AA80" s="185"/>
      <c r="AB80" s="1"/>
    </row>
    <row r="81" spans="1:28">
      <c r="A81" s="152"/>
      <c r="B81" s="153"/>
      <c r="C81" s="153"/>
      <c r="D81" s="74"/>
      <c r="E81" s="170"/>
      <c r="F81" s="74"/>
      <c r="G81" s="138"/>
      <c r="H81" s="155"/>
      <c r="I81" s="204"/>
      <c r="J81" s="204"/>
      <c r="K81" s="204"/>
      <c r="L81" s="216"/>
      <c r="M81" s="217"/>
      <c r="N81" s="176"/>
      <c r="O81" s="222"/>
      <c r="P81" s="222"/>
      <c r="Q81" s="222"/>
      <c r="R81" s="222"/>
      <c r="S81" s="181"/>
      <c r="T81" s="182"/>
      <c r="U81" s="183"/>
      <c r="V81" s="1"/>
      <c r="W81" s="1"/>
      <c r="X81" s="1"/>
      <c r="Y81" s="1"/>
      <c r="Z81" s="184"/>
      <c r="AA81" s="185"/>
      <c r="AB81" s="1"/>
    </row>
    <row r="82" spans="1:28">
      <c r="A82" s="152"/>
      <c r="B82" s="153"/>
      <c r="C82" s="153"/>
      <c r="D82" s="74"/>
      <c r="E82" s="170"/>
      <c r="F82" s="74"/>
      <c r="G82" s="138"/>
      <c r="H82" s="236"/>
      <c r="I82" s="155"/>
      <c r="J82" s="155"/>
      <c r="K82" s="155"/>
      <c r="L82" s="178"/>
      <c r="M82" s="179"/>
      <c r="N82" s="176"/>
      <c r="O82" s="222"/>
      <c r="P82" s="222"/>
      <c r="Q82" s="222"/>
      <c r="R82" s="222"/>
      <c r="S82" s="181"/>
      <c r="T82" s="182"/>
      <c r="U82" s="183"/>
      <c r="V82" s="1"/>
      <c r="W82" s="2"/>
      <c r="X82" s="1"/>
      <c r="Y82" s="1"/>
      <c r="Z82" s="184"/>
      <c r="AA82" s="185"/>
      <c r="AB82" s="1"/>
    </row>
    <row r="83" spans="1:28">
      <c r="A83" s="152"/>
      <c r="B83" s="153"/>
      <c r="C83" s="153"/>
      <c r="D83" s="74"/>
      <c r="E83" s="170"/>
      <c r="F83" s="74"/>
      <c r="G83" s="138"/>
      <c r="H83" s="154"/>
      <c r="I83" s="171"/>
      <c r="J83" s="171"/>
      <c r="K83" s="171"/>
      <c r="L83" s="174"/>
      <c r="M83" s="175"/>
      <c r="N83" s="176"/>
      <c r="O83" s="222"/>
      <c r="P83" s="222"/>
      <c r="Q83" s="222"/>
      <c r="R83" s="222"/>
      <c r="S83" s="181"/>
      <c r="T83" s="182"/>
      <c r="U83" s="183"/>
      <c r="V83" s="1"/>
      <c r="W83" s="2"/>
      <c r="X83" s="1"/>
      <c r="Y83" s="1"/>
      <c r="Z83" s="184"/>
      <c r="AA83" s="215"/>
      <c r="AB83" s="1"/>
    </row>
    <row r="84" spans="1:28">
      <c r="A84" s="152"/>
      <c r="B84" s="153"/>
      <c r="C84" s="153"/>
      <c r="D84" s="74"/>
      <c r="E84" s="170"/>
      <c r="F84" s="74"/>
      <c r="G84" s="138"/>
      <c r="H84" s="154"/>
      <c r="I84" s="171"/>
      <c r="J84" s="171"/>
      <c r="K84" s="171"/>
      <c r="L84" s="174"/>
      <c r="M84" s="175"/>
      <c r="N84" s="176"/>
      <c r="O84" s="222"/>
      <c r="P84" s="222"/>
      <c r="Q84" s="222"/>
      <c r="R84" s="222"/>
      <c r="S84" s="181"/>
      <c r="T84" s="182"/>
      <c r="U84" s="183"/>
      <c r="V84" s="1"/>
      <c r="W84" s="2"/>
      <c r="X84" s="1"/>
      <c r="Y84" s="1"/>
      <c r="Z84" s="184"/>
      <c r="AA84" s="185"/>
      <c r="AB84" s="1"/>
    </row>
    <row r="85" spans="1:28">
      <c r="A85" s="152"/>
      <c r="B85" s="153"/>
      <c r="C85" s="153"/>
      <c r="D85" s="74"/>
      <c r="E85" s="170"/>
      <c r="F85" s="74"/>
      <c r="G85" s="138"/>
      <c r="H85" s="154"/>
      <c r="I85" s="171"/>
      <c r="J85" s="171"/>
      <c r="K85" s="171"/>
      <c r="L85" s="174"/>
      <c r="M85" s="175"/>
      <c r="N85" s="176"/>
      <c r="O85" s="222"/>
      <c r="P85" s="222"/>
      <c r="Q85" s="222"/>
      <c r="R85" s="222"/>
      <c r="S85" s="181"/>
      <c r="T85" s="182"/>
      <c r="U85" s="183"/>
      <c r="V85" s="1"/>
      <c r="W85" s="1"/>
      <c r="X85" s="1"/>
      <c r="Y85" s="1"/>
      <c r="Z85" s="184"/>
      <c r="AA85" s="185"/>
      <c r="AB85" s="1"/>
    </row>
    <row r="86" spans="1:28">
      <c r="A86" s="152"/>
      <c r="B86" s="153"/>
      <c r="C86" s="153"/>
      <c r="D86" s="74"/>
      <c r="E86" s="170"/>
      <c r="F86" s="74"/>
      <c r="G86" s="138"/>
      <c r="H86" s="171"/>
      <c r="I86" s="171"/>
      <c r="J86" s="171"/>
      <c r="K86" s="171"/>
      <c r="L86" s="174"/>
      <c r="M86" s="175"/>
      <c r="N86" s="176"/>
      <c r="O86" s="222"/>
      <c r="P86" s="222"/>
      <c r="Q86" s="222"/>
      <c r="R86" s="222"/>
      <c r="S86" s="181"/>
      <c r="T86" s="182"/>
      <c r="U86" s="183"/>
      <c r="V86" s="1"/>
      <c r="W86" s="2"/>
      <c r="X86" s="1"/>
      <c r="Y86" s="1"/>
      <c r="Z86" s="184"/>
      <c r="AA86" s="215"/>
      <c r="AB86" s="1"/>
    </row>
    <row r="87" spans="1:28">
      <c r="A87" s="152"/>
      <c r="B87" s="153"/>
      <c r="C87" s="153"/>
      <c r="D87" s="74"/>
      <c r="E87" s="170"/>
      <c r="F87" s="74"/>
      <c r="G87" s="138"/>
      <c r="H87" s="154"/>
      <c r="I87" s="171"/>
      <c r="J87" s="171"/>
      <c r="K87" s="171"/>
      <c r="L87" s="174"/>
      <c r="M87" s="175"/>
      <c r="N87" s="176"/>
      <c r="O87" s="222"/>
      <c r="P87" s="224"/>
      <c r="Q87" s="224"/>
      <c r="R87" s="224"/>
      <c r="S87" s="181"/>
      <c r="T87" s="182"/>
      <c r="U87" s="183"/>
      <c r="V87" s="1"/>
      <c r="W87" s="1"/>
      <c r="X87" s="1"/>
      <c r="Y87" s="1"/>
      <c r="Z87" s="184"/>
      <c r="AA87" s="185"/>
      <c r="AB87" s="1"/>
    </row>
    <row r="88" spans="1:28">
      <c r="A88" s="152"/>
      <c r="B88" s="153"/>
      <c r="C88" s="153"/>
      <c r="D88" s="74"/>
      <c r="E88" s="170"/>
      <c r="F88" s="74"/>
      <c r="G88" s="138"/>
      <c r="H88" s="171"/>
      <c r="I88" s="171"/>
      <c r="J88" s="171"/>
      <c r="K88" s="171"/>
      <c r="L88" s="174"/>
      <c r="M88" s="175"/>
      <c r="N88" s="176"/>
      <c r="O88" s="222"/>
      <c r="P88" s="222"/>
      <c r="Q88" s="222"/>
      <c r="R88" s="222"/>
      <c r="S88" s="181"/>
      <c r="T88" s="182"/>
      <c r="U88" s="183"/>
      <c r="V88" s="1"/>
      <c r="W88" s="2"/>
      <c r="X88" s="1"/>
      <c r="Y88" s="1"/>
      <c r="Z88" s="184"/>
      <c r="AA88" s="185"/>
      <c r="AB88" s="1"/>
    </row>
    <row r="89" spans="1:28">
      <c r="A89" s="187" t="s">
        <v>21</v>
      </c>
      <c r="B89" s="188">
        <f>G16+G32+G55</f>
        <v>4539</v>
      </c>
      <c r="C89" s="189"/>
      <c r="D89" s="190" t="s">
        <v>39</v>
      </c>
      <c r="E89" s="189">
        <f>I92+P92</f>
        <v>4520</v>
      </c>
      <c r="F89" s="190"/>
      <c r="G89" s="191">
        <f>G16+G32+G55</f>
        <v>4539</v>
      </c>
      <c r="H89" s="154"/>
      <c r="I89" s="171"/>
      <c r="J89" s="171"/>
      <c r="K89" s="171"/>
      <c r="L89" s="174"/>
      <c r="M89" s="175"/>
      <c r="N89" s="176"/>
      <c r="O89" s="222"/>
      <c r="P89" s="223"/>
      <c r="Q89" s="222"/>
      <c r="R89" s="222"/>
      <c r="S89" s="181"/>
      <c r="T89" s="182"/>
      <c r="U89" s="183"/>
      <c r="V89" s="1"/>
      <c r="W89" s="2"/>
      <c r="X89" s="1"/>
      <c r="Y89" s="1"/>
      <c r="Z89" s="184"/>
      <c r="AA89" s="185"/>
      <c r="AB89" s="80"/>
    </row>
    <row r="90" spans="1:28">
      <c r="A90" s="187" t="s">
        <v>40</v>
      </c>
      <c r="B90" s="188">
        <f>J92+Q92+X92</f>
        <v>0</v>
      </c>
      <c r="C90" s="189"/>
      <c r="D90" s="190" t="s">
        <v>41</v>
      </c>
      <c r="E90" s="192">
        <f>W92</f>
        <v>0</v>
      </c>
      <c r="F90" s="189"/>
      <c r="G90" s="189"/>
      <c r="H90" s="171"/>
      <c r="I90" s="171"/>
      <c r="J90" s="171"/>
      <c r="K90" s="171"/>
      <c r="L90" s="174"/>
      <c r="M90" s="175"/>
      <c r="N90" s="176"/>
      <c r="O90" s="222"/>
      <c r="P90" s="224"/>
      <c r="Q90" s="224"/>
      <c r="R90" s="224"/>
      <c r="S90" s="181"/>
      <c r="T90" s="182"/>
      <c r="U90" s="183"/>
      <c r="V90" s="1"/>
      <c r="W90" s="1"/>
      <c r="X90" s="1"/>
      <c r="Y90" s="1"/>
      <c r="Z90" s="184"/>
      <c r="AA90" s="185"/>
    </row>
    <row r="91" spans="1:28">
      <c r="A91" s="187" t="s">
        <v>42</v>
      </c>
      <c r="B91" s="193">
        <f>B92-E92</f>
        <v>19</v>
      </c>
      <c r="C91" s="189"/>
      <c r="D91" s="190" t="s">
        <v>43</v>
      </c>
      <c r="E91" s="189">
        <f>B90</f>
        <v>0</v>
      </c>
      <c r="F91" s="194" t="s">
        <v>44</v>
      </c>
      <c r="G91" s="250">
        <f>K92+R92+Y92</f>
        <v>0</v>
      </c>
      <c r="H91" s="154"/>
      <c r="I91" s="171"/>
      <c r="J91" s="171"/>
      <c r="K91" s="171"/>
      <c r="L91" s="174"/>
      <c r="M91" s="175"/>
      <c r="N91" s="176"/>
      <c r="O91" s="222"/>
      <c r="P91" s="223"/>
      <c r="Q91" s="222"/>
      <c r="R91" s="222"/>
      <c r="S91" s="181"/>
      <c r="T91" s="225"/>
      <c r="U91" s="183"/>
      <c r="V91" s="1"/>
      <c r="W91" s="202"/>
      <c r="X91" s="202"/>
      <c r="Y91" s="202"/>
      <c r="Z91" s="184"/>
      <c r="AA91" s="185"/>
    </row>
    <row r="92" spans="1:28">
      <c r="A92" s="195" t="s">
        <v>45</v>
      </c>
      <c r="B92" s="193">
        <f>B89-B90</f>
        <v>4539</v>
      </c>
      <c r="C92" s="196"/>
      <c r="D92" s="190" t="s">
        <v>46</v>
      </c>
      <c r="E92" s="193">
        <f>E89+E90-E91</f>
        <v>4520</v>
      </c>
      <c r="F92" s="190"/>
      <c r="G92" s="190"/>
      <c r="H92" s="190" t="s">
        <v>47</v>
      </c>
      <c r="I92" s="190">
        <f>SUM(I3:I91)</f>
        <v>2761</v>
      </c>
      <c r="J92" s="190">
        <f>SUM(J3:J91)</f>
        <v>0</v>
      </c>
      <c r="K92" s="250">
        <f>SUM(K3:K91)</f>
        <v>0</v>
      </c>
      <c r="L92" s="190" t="s">
        <v>48</v>
      </c>
      <c r="M92" s="195">
        <f>I92-J92</f>
        <v>2761</v>
      </c>
      <c r="N92" s="190"/>
      <c r="O92" s="190" t="s">
        <v>49</v>
      </c>
      <c r="P92" s="189">
        <f>SUM(P3:P91)</f>
        <v>1759</v>
      </c>
      <c r="Q92" s="249">
        <f>SUM(Q3:Q91)</f>
        <v>0</v>
      </c>
      <c r="R92" s="250">
        <f>SUM(R3:R91)</f>
        <v>0</v>
      </c>
      <c r="S92" s="189" t="s">
        <v>48</v>
      </c>
      <c r="T92" s="198">
        <f>P92-Q92</f>
        <v>1759</v>
      </c>
      <c r="U92" s="199"/>
      <c r="V92" s="190" t="s">
        <v>21</v>
      </c>
      <c r="W92" s="190">
        <f>SUM(W3:W91)</f>
        <v>0</v>
      </c>
      <c r="X92" s="249">
        <f>SUM(X3:X91)</f>
        <v>0</v>
      </c>
      <c r="Y92" s="250">
        <f>SUM(Y3:Y91)</f>
        <v>0</v>
      </c>
      <c r="Z92" s="189" t="s">
        <v>48</v>
      </c>
      <c r="AA92" s="200" t="s">
        <v>38</v>
      </c>
    </row>
  </sheetData>
  <sortState xmlns:xlrd2="http://schemas.microsoft.com/office/spreadsheetml/2017/richdata2" ref="O3:T75">
    <sortCondition ref="O3:O75"/>
  </sortState>
  <pageMargins left="0" right="0" top="0" bottom="0" header="0" footer="0"/>
  <pageSetup paperSize="9" scale="5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FB7D6-58E0-447B-BFD4-CDFFB2FE665B}">
  <dimension ref="A1:AG4"/>
  <sheetViews>
    <sheetView workbookViewId="0">
      <selection activeCell="A5" sqref="A5"/>
    </sheetView>
  </sheetViews>
  <sheetFormatPr defaultRowHeight="15"/>
  <cols>
    <col min="1" max="1" width="9.42578125" bestFit="1" customWidth="1"/>
    <col min="2" max="2" width="5.5703125" bestFit="1" customWidth="1"/>
    <col min="3" max="3" width="4.42578125" bestFit="1" customWidth="1"/>
    <col min="4" max="4" width="5" bestFit="1" customWidth="1"/>
    <col min="5" max="5" width="11.7109375" bestFit="1" customWidth="1"/>
    <col min="6" max="6" width="5.5703125" bestFit="1" customWidth="1"/>
    <col min="7" max="7" width="4.42578125" bestFit="1" customWidth="1"/>
    <col min="8" max="8" width="5" bestFit="1" customWidth="1"/>
    <col min="9" max="9" width="7.85546875" bestFit="1" customWidth="1"/>
    <col min="10" max="10" width="5.5703125" bestFit="1" customWidth="1"/>
    <col min="11" max="11" width="4.42578125" bestFit="1" customWidth="1"/>
    <col min="12" max="12" width="5" bestFit="1" customWidth="1"/>
    <col min="13" max="13" width="7.85546875" bestFit="1" customWidth="1"/>
    <col min="14" max="14" width="5.5703125" bestFit="1" customWidth="1"/>
    <col min="15" max="15" width="4.42578125" bestFit="1" customWidth="1"/>
    <col min="16" max="16" width="5" bestFit="1" customWidth="1"/>
  </cols>
  <sheetData>
    <row r="1" spans="1:33">
      <c r="A1" t="s">
        <v>255</v>
      </c>
      <c r="B1" t="s">
        <v>256</v>
      </c>
      <c r="D1" t="s">
        <v>257</v>
      </c>
      <c r="R1" t="s">
        <v>255</v>
      </c>
      <c r="S1" t="s">
        <v>256</v>
      </c>
      <c r="U1" t="s">
        <v>257</v>
      </c>
    </row>
    <row r="2" spans="1:33">
      <c r="A2" t="s">
        <v>244</v>
      </c>
      <c r="E2" t="s">
        <v>250</v>
      </c>
      <c r="I2" t="s">
        <v>253</v>
      </c>
      <c r="M2" t="s">
        <v>254</v>
      </c>
      <c r="R2" t="s">
        <v>248</v>
      </c>
      <c r="V2" t="s">
        <v>250</v>
      </c>
      <c r="Z2" t="s">
        <v>253</v>
      </c>
      <c r="AD2" t="s">
        <v>254</v>
      </c>
    </row>
    <row r="3" spans="1:33">
      <c r="A3" t="s">
        <v>245</v>
      </c>
      <c r="E3" t="s">
        <v>251</v>
      </c>
      <c r="I3" t="s">
        <v>252</v>
      </c>
      <c r="M3" t="s">
        <v>249</v>
      </c>
      <c r="R3" t="s">
        <v>245</v>
      </c>
      <c r="V3" t="s">
        <v>251</v>
      </c>
      <c r="Z3" t="s">
        <v>252</v>
      </c>
      <c r="AD3" t="s">
        <v>249</v>
      </c>
    </row>
    <row r="4" spans="1:33">
      <c r="A4" t="s">
        <v>6</v>
      </c>
      <c r="B4" t="s">
        <v>246</v>
      </c>
      <c r="C4" t="s">
        <v>247</v>
      </c>
      <c r="D4" t="s">
        <v>1</v>
      </c>
      <c r="E4" t="s">
        <v>6</v>
      </c>
      <c r="F4" t="s">
        <v>246</v>
      </c>
      <c r="G4" t="s">
        <v>247</v>
      </c>
      <c r="H4" t="s">
        <v>1</v>
      </c>
      <c r="I4" t="s">
        <v>6</v>
      </c>
      <c r="J4" t="s">
        <v>246</v>
      </c>
      <c r="K4" t="s">
        <v>247</v>
      </c>
      <c r="L4" t="s">
        <v>1</v>
      </c>
      <c r="M4" t="s">
        <v>6</v>
      </c>
      <c r="N4" t="s">
        <v>246</v>
      </c>
      <c r="O4" t="s">
        <v>247</v>
      </c>
      <c r="P4" t="s">
        <v>1</v>
      </c>
      <c r="R4" t="s">
        <v>6</v>
      </c>
      <c r="S4" t="s">
        <v>246</v>
      </c>
      <c r="T4" t="s">
        <v>247</v>
      </c>
      <c r="U4" t="s">
        <v>1</v>
      </c>
      <c r="V4" t="s">
        <v>6</v>
      </c>
      <c r="W4" t="s">
        <v>246</v>
      </c>
      <c r="X4" t="s">
        <v>247</v>
      </c>
      <c r="Y4" t="s">
        <v>1</v>
      </c>
      <c r="Z4" t="s">
        <v>6</v>
      </c>
      <c r="AA4" t="s">
        <v>246</v>
      </c>
      <c r="AB4" t="s">
        <v>247</v>
      </c>
      <c r="AC4" t="s">
        <v>1</v>
      </c>
      <c r="AD4" t="s">
        <v>6</v>
      </c>
      <c r="AE4" t="s">
        <v>246</v>
      </c>
      <c r="AF4" t="s">
        <v>247</v>
      </c>
      <c r="AG4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EE2E3-98C3-4F7F-9A0A-5AC839E52375}">
  <dimension ref="A1:L16"/>
  <sheetViews>
    <sheetView tabSelected="1" workbookViewId="0">
      <selection activeCell="F24" sqref="F24"/>
    </sheetView>
  </sheetViews>
  <sheetFormatPr defaultRowHeight="15"/>
  <sheetData>
    <row r="1" spans="1:12">
      <c r="A1" s="277" t="s">
        <v>258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</row>
    <row r="2" spans="1:12">
      <c r="A2" s="277"/>
      <c r="B2" s="277"/>
      <c r="C2" s="277"/>
      <c r="D2" s="277"/>
      <c r="E2" s="277"/>
      <c r="F2" s="277"/>
      <c r="G2" s="277"/>
      <c r="H2" s="277"/>
      <c r="I2" s="277"/>
      <c r="J2" s="277"/>
      <c r="K2" s="277"/>
      <c r="L2" s="277"/>
    </row>
    <row r="3" spans="1:12">
      <c r="A3" s="277"/>
      <c r="B3" s="277"/>
      <c r="C3" s="277"/>
      <c r="D3" s="277"/>
      <c r="E3" s="277"/>
      <c r="F3" s="277"/>
      <c r="G3" s="277"/>
      <c r="H3" s="277"/>
      <c r="I3" s="277"/>
      <c r="J3" s="277"/>
      <c r="K3" s="277"/>
      <c r="L3" s="277"/>
    </row>
    <row r="4" spans="1:12">
      <c r="A4" s="277"/>
      <c r="B4" s="277"/>
      <c r="C4" s="277"/>
      <c r="D4" s="277"/>
      <c r="E4" s="277"/>
      <c r="F4" s="277"/>
      <c r="G4" s="277"/>
      <c r="H4" s="277"/>
      <c r="I4" s="277"/>
      <c r="J4" s="277"/>
      <c r="K4" s="277"/>
      <c r="L4" s="277"/>
    </row>
    <row r="5" spans="1:12">
      <c r="A5" s="277"/>
      <c r="B5" s="277"/>
      <c r="C5" s="277"/>
      <c r="D5" s="277"/>
      <c r="E5" s="277"/>
      <c r="F5" s="277"/>
      <c r="G5" s="277"/>
      <c r="H5" s="277"/>
      <c r="I5" s="277"/>
      <c r="J5" s="277"/>
      <c r="K5" s="277"/>
      <c r="L5" s="277"/>
    </row>
    <row r="6" spans="1:12">
      <c r="A6" s="277"/>
      <c r="B6" s="277"/>
      <c r="C6" s="277"/>
      <c r="D6" s="277"/>
      <c r="E6" s="277"/>
      <c r="F6" s="277"/>
      <c r="G6" s="277"/>
      <c r="H6" s="277"/>
      <c r="I6" s="277"/>
      <c r="J6" s="277"/>
      <c r="K6" s="277"/>
      <c r="L6" s="277"/>
    </row>
    <row r="7" spans="1:12">
      <c r="A7" s="277"/>
      <c r="B7" s="277"/>
      <c r="C7" s="277"/>
      <c r="D7" s="277"/>
      <c r="E7" s="277"/>
      <c r="F7" s="277"/>
      <c r="G7" s="277"/>
      <c r="H7" s="277"/>
      <c r="I7" s="277"/>
      <c r="J7" s="277"/>
      <c r="K7" s="277"/>
      <c r="L7" s="277"/>
    </row>
    <row r="8" spans="1:12">
      <c r="A8" s="277"/>
      <c r="B8" s="277"/>
      <c r="C8" s="277"/>
      <c r="D8" s="277"/>
      <c r="E8" s="277"/>
      <c r="F8" s="277"/>
      <c r="G8" s="277"/>
      <c r="H8" s="277"/>
      <c r="I8" s="277"/>
      <c r="J8" s="277"/>
      <c r="K8" s="277"/>
      <c r="L8" s="277"/>
    </row>
    <row r="9" spans="1:12">
      <c r="A9" s="277"/>
      <c r="B9" s="277"/>
      <c r="C9" s="277"/>
      <c r="D9" s="277"/>
      <c r="E9" s="277"/>
      <c r="F9" s="277"/>
      <c r="G9" s="277"/>
      <c r="H9" s="277"/>
      <c r="I9" s="277"/>
      <c r="J9" s="277"/>
      <c r="K9" s="277"/>
      <c r="L9" s="277"/>
    </row>
    <row r="10" spans="1:12">
      <c r="A10" s="277"/>
      <c r="B10" s="277"/>
      <c r="C10" s="277"/>
      <c r="D10" s="277"/>
      <c r="E10" s="277"/>
      <c r="F10" s="277"/>
      <c r="G10" s="277"/>
      <c r="H10" s="277"/>
      <c r="I10" s="277"/>
      <c r="J10" s="277"/>
      <c r="K10" s="277"/>
      <c r="L10" s="277"/>
    </row>
    <row r="11" spans="1:12">
      <c r="A11" s="277"/>
      <c r="B11" s="277"/>
      <c r="C11" s="277"/>
      <c r="D11" s="277"/>
      <c r="E11" s="277"/>
      <c r="F11" s="277"/>
      <c r="G11" s="277"/>
      <c r="H11" s="277"/>
      <c r="I11" s="277"/>
      <c r="J11" s="277"/>
      <c r="K11" s="277"/>
      <c r="L11" s="277"/>
    </row>
    <row r="12" spans="1:12">
      <c r="A12" s="277"/>
      <c r="B12" s="277"/>
      <c r="C12" s="277"/>
      <c r="D12" s="277"/>
      <c r="E12" s="277"/>
      <c r="F12" s="277"/>
      <c r="G12" s="277"/>
      <c r="H12" s="277"/>
      <c r="I12" s="277"/>
      <c r="J12" s="277"/>
      <c r="K12" s="277"/>
      <c r="L12" s="277"/>
    </row>
    <row r="13" spans="1:12">
      <c r="A13" s="277"/>
      <c r="B13" s="277"/>
      <c r="C13" s="277"/>
      <c r="D13" s="277"/>
      <c r="E13" s="277"/>
      <c r="F13" s="277"/>
      <c r="G13" s="277"/>
      <c r="H13" s="277"/>
      <c r="I13" s="277"/>
      <c r="J13" s="277"/>
      <c r="K13" s="277"/>
      <c r="L13" s="277"/>
    </row>
    <row r="14" spans="1:12">
      <c r="A14" s="277"/>
      <c r="B14" s="277"/>
      <c r="C14" s="277"/>
      <c r="D14" s="277"/>
      <c r="E14" s="277"/>
      <c r="F14" s="277"/>
      <c r="G14" s="277"/>
      <c r="H14" s="277"/>
      <c r="I14" s="277"/>
      <c r="J14" s="277"/>
      <c r="K14" s="277"/>
      <c r="L14" s="277"/>
    </row>
    <row r="15" spans="1:12">
      <c r="A15" s="277"/>
      <c r="B15" s="277"/>
      <c r="C15" s="277"/>
      <c r="D15" s="277"/>
      <c r="E15" s="277"/>
      <c r="F15" s="277"/>
      <c r="G15" s="277"/>
      <c r="H15" s="277"/>
      <c r="I15" s="277"/>
      <c r="J15" s="277"/>
      <c r="K15" s="277"/>
      <c r="L15" s="277"/>
    </row>
    <row r="16" spans="1:12">
      <c r="A16" s="277"/>
      <c r="B16" s="277"/>
      <c r="C16" s="277"/>
      <c r="D16" s="277"/>
      <c r="E16" s="277"/>
      <c r="F16" s="277"/>
      <c r="G16" s="277"/>
      <c r="H16" s="277"/>
      <c r="I16" s="277"/>
      <c r="J16" s="277"/>
      <c r="K16" s="277"/>
      <c r="L16" s="277"/>
    </row>
  </sheetData>
  <mergeCells count="1">
    <mergeCell ref="A1:L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4"/>
  <sheetViews>
    <sheetView zoomScale="110" zoomScaleNormal="110" workbookViewId="0">
      <selection activeCell="F22" sqref="F22"/>
    </sheetView>
  </sheetViews>
  <sheetFormatPr defaultColWidth="8.85546875" defaultRowHeight="15"/>
  <cols>
    <col min="4" max="4" width="10.85546875" customWidth="1"/>
    <col min="5" max="5" width="13.5703125" bestFit="1" customWidth="1"/>
    <col min="8" max="8" width="14.42578125" customWidth="1"/>
    <col min="10" max="10" width="6.28515625" customWidth="1"/>
    <col min="14" max="14" width="14.28515625" customWidth="1"/>
  </cols>
  <sheetData>
    <row r="1" spans="1:19">
      <c r="A1" s="43">
        <v>46067</v>
      </c>
      <c r="B1" s="44" t="s">
        <v>50</v>
      </c>
      <c r="C1" s="45"/>
      <c r="D1" s="46"/>
      <c r="E1" s="46"/>
      <c r="F1" s="46"/>
      <c r="G1" s="46"/>
      <c r="H1" s="46"/>
      <c r="I1" s="46"/>
      <c r="J1" s="46"/>
      <c r="K1" s="46"/>
      <c r="L1" s="102"/>
      <c r="M1" s="46"/>
      <c r="N1" s="74"/>
      <c r="O1" s="103"/>
      <c r="P1" s="104"/>
      <c r="Q1" s="138"/>
      <c r="R1" s="104"/>
    </row>
    <row r="2" spans="1:19">
      <c r="A2" s="47" t="s">
        <v>6</v>
      </c>
      <c r="B2" s="48" t="s">
        <v>0</v>
      </c>
      <c r="C2" s="48" t="s">
        <v>1</v>
      </c>
      <c r="D2" s="49" t="s">
        <v>2</v>
      </c>
      <c r="E2" s="49" t="s">
        <v>2</v>
      </c>
      <c r="F2" s="49" t="s">
        <v>51</v>
      </c>
      <c r="G2" s="49" t="s">
        <v>51</v>
      </c>
      <c r="H2" s="50" t="s">
        <v>51</v>
      </c>
      <c r="I2" s="50" t="s">
        <v>3</v>
      </c>
      <c r="J2" s="50" t="s">
        <v>4</v>
      </c>
      <c r="K2" s="50" t="s">
        <v>1</v>
      </c>
      <c r="L2" s="105" t="s">
        <v>6</v>
      </c>
      <c r="M2" s="106" t="s">
        <v>7</v>
      </c>
      <c r="N2" s="50" t="s">
        <v>51</v>
      </c>
      <c r="O2" s="50" t="s">
        <v>3</v>
      </c>
      <c r="P2" s="50" t="s">
        <v>4</v>
      </c>
      <c r="Q2" s="50" t="s">
        <v>1</v>
      </c>
      <c r="R2" s="105" t="s">
        <v>6</v>
      </c>
    </row>
    <row r="3" spans="1:19">
      <c r="A3" s="51">
        <v>46035</v>
      </c>
      <c r="B3" s="52">
        <v>1</v>
      </c>
      <c r="C3" s="52">
        <v>38911</v>
      </c>
      <c r="D3" s="53"/>
      <c r="E3" s="53"/>
      <c r="F3" s="53"/>
      <c r="G3" s="53"/>
      <c r="H3" s="253" t="s">
        <v>99</v>
      </c>
      <c r="I3" s="254">
        <v>7</v>
      </c>
      <c r="J3" s="255"/>
      <c r="K3" s="256">
        <v>36811</v>
      </c>
      <c r="L3" s="257">
        <v>45887</v>
      </c>
      <c r="M3" s="73"/>
      <c r="N3" s="110"/>
      <c r="O3" s="220"/>
      <c r="P3" s="220"/>
      <c r="Q3" s="139"/>
      <c r="R3" s="227"/>
      <c r="S3" s="221"/>
    </row>
    <row r="4" spans="1:19">
      <c r="A4" s="51">
        <v>46037</v>
      </c>
      <c r="B4" s="52">
        <v>1</v>
      </c>
      <c r="C4" s="52">
        <v>40411</v>
      </c>
      <c r="D4" s="54"/>
      <c r="E4" s="53"/>
      <c r="F4" s="53"/>
      <c r="G4" s="55"/>
      <c r="H4" s="205" t="s">
        <v>8</v>
      </c>
      <c r="I4" s="113">
        <v>1</v>
      </c>
      <c r="J4" s="113"/>
      <c r="K4" s="206">
        <v>41311</v>
      </c>
      <c r="L4" s="115">
        <v>45777</v>
      </c>
      <c r="M4" s="73"/>
      <c r="N4" s="110"/>
      <c r="O4" s="220"/>
      <c r="P4" s="220"/>
      <c r="Q4" s="139"/>
      <c r="R4" s="227"/>
      <c r="S4" s="141"/>
    </row>
    <row r="5" spans="1:19" ht="25.5">
      <c r="A5" s="51">
        <v>46050</v>
      </c>
      <c r="B5" s="52">
        <v>108</v>
      </c>
      <c r="C5" s="52">
        <v>40211</v>
      </c>
      <c r="D5" s="54"/>
      <c r="E5" s="54"/>
      <c r="F5" s="54"/>
      <c r="G5" s="53"/>
      <c r="H5" s="56" t="s">
        <v>217</v>
      </c>
      <c r="I5" s="264">
        <v>12</v>
      </c>
      <c r="J5" s="264"/>
      <c r="K5" s="114">
        <v>42211</v>
      </c>
      <c r="L5" s="265">
        <v>46060</v>
      </c>
      <c r="M5" s="73"/>
      <c r="N5" s="110"/>
      <c r="O5" s="226"/>
      <c r="P5" s="220"/>
      <c r="Q5" s="139"/>
      <c r="R5" s="227"/>
    </row>
    <row r="6" spans="1:19">
      <c r="A6" s="51">
        <v>46056</v>
      </c>
      <c r="B6" s="52">
        <v>55</v>
      </c>
      <c r="C6" s="52">
        <v>40211</v>
      </c>
      <c r="D6" s="54"/>
      <c r="E6" s="53"/>
      <c r="F6" s="53"/>
      <c r="G6" s="53"/>
      <c r="H6" s="56" t="s">
        <v>205</v>
      </c>
      <c r="I6" s="264">
        <v>15</v>
      </c>
      <c r="J6" s="264"/>
      <c r="K6" s="114">
        <v>40411</v>
      </c>
      <c r="L6" s="265">
        <v>46056</v>
      </c>
      <c r="M6" s="73"/>
      <c r="N6" s="110"/>
      <c r="O6" s="226"/>
      <c r="P6" s="220"/>
      <c r="Q6" s="139"/>
      <c r="R6" s="227"/>
    </row>
    <row r="7" spans="1:19">
      <c r="A7" s="51">
        <v>46062</v>
      </c>
      <c r="B7" s="52">
        <v>50</v>
      </c>
      <c r="C7" s="52">
        <v>41711</v>
      </c>
      <c r="D7" s="54"/>
      <c r="E7" s="53"/>
      <c r="F7" s="53"/>
      <c r="G7" s="53"/>
      <c r="H7" s="56" t="s">
        <v>184</v>
      </c>
      <c r="I7" s="113">
        <v>10</v>
      </c>
      <c r="J7" s="113"/>
      <c r="K7" s="114">
        <v>40711</v>
      </c>
      <c r="L7" s="115">
        <v>46045</v>
      </c>
      <c r="M7" s="73"/>
      <c r="N7" s="110"/>
      <c r="O7" s="226"/>
      <c r="P7" s="220"/>
      <c r="Q7" s="139"/>
      <c r="R7" s="227"/>
      <c r="S7" s="141"/>
    </row>
    <row r="8" spans="1:19">
      <c r="A8" s="51"/>
      <c r="B8" s="52"/>
      <c r="C8" s="52"/>
      <c r="D8" s="53"/>
      <c r="E8" s="53"/>
      <c r="F8" s="53"/>
      <c r="G8" s="53"/>
      <c r="H8" s="56" t="s">
        <v>178</v>
      </c>
      <c r="I8" s="113">
        <v>10</v>
      </c>
      <c r="J8" s="113"/>
      <c r="K8" s="114">
        <v>40911</v>
      </c>
      <c r="L8" s="115">
        <v>46038</v>
      </c>
      <c r="M8" s="73"/>
      <c r="N8" s="110"/>
      <c r="O8" s="220"/>
      <c r="P8" s="220"/>
      <c r="Q8" s="139"/>
      <c r="R8" s="227"/>
    </row>
    <row r="9" spans="1:19">
      <c r="A9" s="51"/>
      <c r="B9" s="52"/>
      <c r="C9" s="52"/>
      <c r="D9" s="54"/>
      <c r="E9" s="54"/>
      <c r="F9" s="54"/>
      <c r="G9" s="53"/>
      <c r="H9" s="56" t="s">
        <v>201</v>
      </c>
      <c r="I9" s="264">
        <v>25</v>
      </c>
      <c r="J9" s="264"/>
      <c r="K9" s="114">
        <v>40411</v>
      </c>
      <c r="L9" s="265">
        <v>46056</v>
      </c>
      <c r="M9" s="73"/>
      <c r="N9" s="110"/>
      <c r="O9" s="112"/>
      <c r="P9" s="112"/>
      <c r="Q9" s="139"/>
      <c r="R9" s="140"/>
    </row>
    <row r="10" spans="1:19">
      <c r="A10" s="51"/>
      <c r="B10" s="52"/>
      <c r="C10" s="52"/>
      <c r="D10" s="54"/>
      <c r="E10" s="53"/>
      <c r="F10" s="53"/>
      <c r="G10" s="53"/>
      <c r="H10" s="56" t="s">
        <v>236</v>
      </c>
      <c r="I10" s="264">
        <v>50</v>
      </c>
      <c r="J10" s="264"/>
      <c r="K10" s="114">
        <v>42011</v>
      </c>
      <c r="L10" s="265">
        <v>46066</v>
      </c>
      <c r="M10" s="73"/>
      <c r="N10" s="117"/>
      <c r="O10" s="118"/>
      <c r="P10" s="118"/>
      <c r="Q10" s="142"/>
      <c r="R10" s="140"/>
    </row>
    <row r="11" spans="1:19">
      <c r="A11" s="261"/>
      <c r="B11" s="262"/>
      <c r="C11" s="262"/>
      <c r="D11" s="54"/>
      <c r="E11" s="53"/>
      <c r="F11" s="53"/>
      <c r="G11" s="55"/>
      <c r="H11" s="56" t="s">
        <v>158</v>
      </c>
      <c r="I11" s="113">
        <v>3</v>
      </c>
      <c r="J11" s="113"/>
      <c r="K11" s="114">
        <v>40711</v>
      </c>
      <c r="L11" s="115">
        <v>46044</v>
      </c>
      <c r="M11" s="73"/>
      <c r="N11" s="110"/>
      <c r="O11" s="112"/>
      <c r="P11" s="112"/>
      <c r="Q11" s="139"/>
      <c r="R11" s="140"/>
    </row>
    <row r="12" spans="1:19">
      <c r="A12" s="51"/>
      <c r="B12" s="52"/>
      <c r="C12" s="52"/>
      <c r="D12" s="53"/>
      <c r="E12" s="53"/>
      <c r="F12" s="53"/>
      <c r="G12" s="55"/>
      <c r="H12" s="56" t="s">
        <v>104</v>
      </c>
      <c r="I12" s="266">
        <v>51</v>
      </c>
      <c r="J12" s="264"/>
      <c r="K12" s="114">
        <v>40411</v>
      </c>
      <c r="L12" s="265">
        <v>46056</v>
      </c>
      <c r="M12" s="73"/>
      <c r="N12" s="110"/>
      <c r="O12" s="112"/>
      <c r="P12" s="112"/>
      <c r="Q12" s="139"/>
      <c r="R12" s="143"/>
    </row>
    <row r="13" spans="1:19">
      <c r="A13" s="51"/>
      <c r="B13" s="52"/>
      <c r="C13" s="52"/>
      <c r="D13" s="54"/>
      <c r="E13" s="53"/>
      <c r="F13" s="53"/>
      <c r="G13" s="55"/>
      <c r="H13" s="56" t="s">
        <v>104</v>
      </c>
      <c r="I13" s="266">
        <v>25</v>
      </c>
      <c r="J13" s="264"/>
      <c r="K13" s="114">
        <v>42011</v>
      </c>
      <c r="L13" s="265">
        <v>46066</v>
      </c>
      <c r="M13" s="73"/>
      <c r="N13" s="119"/>
      <c r="O13" s="112"/>
      <c r="P13" s="112"/>
      <c r="Q13" s="139"/>
      <c r="R13" s="143"/>
    </row>
    <row r="14" spans="1:19">
      <c r="A14" s="57" t="s">
        <v>52</v>
      </c>
      <c r="B14" s="58">
        <f>SUM(B3:B13)</f>
        <v>215</v>
      </c>
      <c r="C14" s="58"/>
      <c r="D14" s="53"/>
      <c r="E14" s="53"/>
      <c r="F14" s="53" t="s">
        <v>21</v>
      </c>
      <c r="G14" s="55">
        <f>SUM(B3:B13)</f>
        <v>215</v>
      </c>
      <c r="H14" s="56" t="s">
        <v>167</v>
      </c>
      <c r="I14" s="116">
        <v>22</v>
      </c>
      <c r="J14" s="113"/>
      <c r="K14" s="114">
        <v>40211</v>
      </c>
      <c r="L14" s="115">
        <v>46050</v>
      </c>
      <c r="M14" s="73"/>
      <c r="N14" s="119"/>
      <c r="O14" s="112"/>
      <c r="P14" s="112"/>
      <c r="Q14" s="139"/>
      <c r="R14" s="143"/>
    </row>
    <row r="15" spans="1:19" ht="23.25">
      <c r="A15" s="59" t="s">
        <v>53</v>
      </c>
      <c r="B15" s="60"/>
      <c r="C15" s="61"/>
      <c r="D15" s="53"/>
      <c r="E15" s="53"/>
      <c r="F15" s="53"/>
      <c r="G15" s="53"/>
      <c r="H15" s="56" t="s">
        <v>102</v>
      </c>
      <c r="I15" s="113">
        <v>13</v>
      </c>
      <c r="J15" s="113"/>
      <c r="K15" s="114">
        <v>41111</v>
      </c>
      <c r="L15" s="115">
        <v>46046</v>
      </c>
      <c r="M15" s="73"/>
      <c r="N15" s="110"/>
      <c r="O15" s="111"/>
      <c r="P15" s="220"/>
      <c r="Q15" s="139"/>
      <c r="R15" s="112"/>
    </row>
    <row r="16" spans="1:19">
      <c r="A16" s="62"/>
      <c r="B16" s="63"/>
      <c r="C16" s="63"/>
      <c r="D16" s="53"/>
      <c r="E16" s="53"/>
      <c r="F16" s="53"/>
      <c r="G16" s="53"/>
      <c r="H16" s="56" t="s">
        <v>102</v>
      </c>
      <c r="I16" s="264">
        <v>30</v>
      </c>
      <c r="J16" s="264"/>
      <c r="K16" s="114">
        <v>41211</v>
      </c>
      <c r="L16" s="265">
        <v>46059</v>
      </c>
      <c r="M16" s="73"/>
      <c r="N16" s="119"/>
      <c r="O16" s="112"/>
      <c r="P16" s="112"/>
      <c r="Q16" s="139"/>
      <c r="R16" s="112"/>
    </row>
    <row r="17" spans="1:18">
      <c r="A17" s="62" t="s">
        <v>96</v>
      </c>
      <c r="B17" s="63"/>
      <c r="C17" s="63"/>
      <c r="D17" s="53"/>
      <c r="E17" s="53"/>
      <c r="F17" s="53"/>
      <c r="G17" s="53"/>
      <c r="H17" s="56" t="s">
        <v>102</v>
      </c>
      <c r="I17" s="116">
        <v>10</v>
      </c>
      <c r="J17" s="113"/>
      <c r="K17" s="114">
        <v>40211</v>
      </c>
      <c r="L17" s="115">
        <v>46050</v>
      </c>
      <c r="M17" s="73"/>
      <c r="N17" s="110"/>
      <c r="O17" s="112"/>
      <c r="P17" s="112"/>
      <c r="Q17" s="139"/>
      <c r="R17" s="112"/>
    </row>
    <row r="18" spans="1:18">
      <c r="A18" s="235">
        <v>46031</v>
      </c>
      <c r="B18" s="68">
        <v>1</v>
      </c>
      <c r="C18" s="68">
        <v>39711</v>
      </c>
      <c r="D18" s="53"/>
      <c r="E18" s="53"/>
      <c r="F18" s="53"/>
      <c r="G18" s="53"/>
      <c r="H18" s="56" t="s">
        <v>180</v>
      </c>
      <c r="I18" s="113">
        <v>96</v>
      </c>
      <c r="J18" s="113"/>
      <c r="K18" s="114">
        <v>41311</v>
      </c>
      <c r="L18" s="115">
        <v>46042</v>
      </c>
      <c r="M18" s="73"/>
      <c r="N18" s="110"/>
      <c r="O18" s="111"/>
      <c r="P18" s="112"/>
      <c r="Q18" s="139"/>
      <c r="R18" s="112"/>
    </row>
    <row r="19" spans="1:18">
      <c r="A19" s="235">
        <v>46035</v>
      </c>
      <c r="B19" s="68">
        <v>26</v>
      </c>
      <c r="C19" s="68">
        <v>38911</v>
      </c>
      <c r="D19" s="53"/>
      <c r="E19" s="53"/>
      <c r="F19" s="55"/>
      <c r="G19" s="53"/>
      <c r="H19" s="56" t="s">
        <v>190</v>
      </c>
      <c r="I19" s="116">
        <v>8</v>
      </c>
      <c r="J19" s="113"/>
      <c r="K19" s="114">
        <v>40211</v>
      </c>
      <c r="L19" s="115">
        <v>46050</v>
      </c>
      <c r="M19" s="73"/>
      <c r="N19" s="119"/>
      <c r="O19" s="112"/>
      <c r="P19" s="112"/>
      <c r="Q19" s="139"/>
      <c r="R19" s="112"/>
    </row>
    <row r="20" spans="1:18">
      <c r="A20" s="231">
        <v>46039</v>
      </c>
      <c r="B20" s="65">
        <v>7</v>
      </c>
      <c r="C20" s="65">
        <v>40711</v>
      </c>
      <c r="D20" s="53"/>
      <c r="E20" s="53"/>
      <c r="F20" s="55"/>
      <c r="G20" s="53"/>
      <c r="H20" s="56" t="s">
        <v>219</v>
      </c>
      <c r="I20" s="264">
        <v>25</v>
      </c>
      <c r="J20" s="264"/>
      <c r="K20" s="114">
        <v>42211</v>
      </c>
      <c r="L20" s="265">
        <v>46062</v>
      </c>
      <c r="M20" s="73"/>
      <c r="N20" s="119"/>
      <c r="O20" s="112"/>
      <c r="P20" s="112"/>
      <c r="Q20" s="139"/>
      <c r="R20" s="112"/>
    </row>
    <row r="21" spans="1:18">
      <c r="A21" s="235">
        <v>46050</v>
      </c>
      <c r="B21" s="68">
        <v>101</v>
      </c>
      <c r="C21" s="68">
        <v>40211</v>
      </c>
      <c r="D21" s="53"/>
      <c r="E21" s="53"/>
      <c r="F21" s="55"/>
      <c r="G21" s="53"/>
      <c r="H21" s="56" t="s">
        <v>187</v>
      </c>
      <c r="I21" s="113">
        <v>26</v>
      </c>
      <c r="J21" s="113"/>
      <c r="K21" s="114">
        <v>40211</v>
      </c>
      <c r="L21" s="115">
        <v>46050</v>
      </c>
      <c r="M21" s="73"/>
      <c r="N21" s="119"/>
      <c r="O21" s="112"/>
      <c r="P21" s="112"/>
      <c r="Q21" s="139"/>
      <c r="R21" s="112"/>
    </row>
    <row r="22" spans="1:18">
      <c r="A22" s="235"/>
      <c r="B22" s="68"/>
      <c r="C22" s="68"/>
      <c r="D22" s="53"/>
      <c r="E22" s="53"/>
      <c r="F22" s="55"/>
      <c r="G22" s="53"/>
      <c r="H22" s="56" t="s">
        <v>228</v>
      </c>
      <c r="I22" s="264">
        <v>20</v>
      </c>
      <c r="J22" s="264"/>
      <c r="K22" s="114">
        <v>42011</v>
      </c>
      <c r="L22" s="265">
        <v>46066</v>
      </c>
      <c r="M22" s="73"/>
      <c r="N22" s="119"/>
      <c r="O22" s="112"/>
      <c r="P22" s="112"/>
      <c r="Q22" s="139"/>
      <c r="R22" s="112"/>
    </row>
    <row r="23" spans="1:18">
      <c r="A23" s="231">
        <v>46056</v>
      </c>
      <c r="B23" s="65">
        <v>32</v>
      </c>
      <c r="C23" s="65">
        <v>40411</v>
      </c>
      <c r="D23" s="53"/>
      <c r="E23" s="53"/>
      <c r="F23" s="55"/>
      <c r="G23" s="53"/>
      <c r="H23" s="56" t="s">
        <v>146</v>
      </c>
      <c r="I23" s="113">
        <v>5</v>
      </c>
      <c r="J23" s="113"/>
      <c r="K23" s="114">
        <v>40411</v>
      </c>
      <c r="L23" s="115">
        <v>46037</v>
      </c>
      <c r="M23" s="73"/>
      <c r="N23" s="119"/>
      <c r="O23" s="112"/>
      <c r="P23" s="112"/>
      <c r="Q23" s="139"/>
      <c r="R23" s="112"/>
    </row>
    <row r="24" spans="1:18">
      <c r="A24" s="235"/>
      <c r="B24" s="68"/>
      <c r="C24" s="68"/>
      <c r="D24" s="53"/>
      <c r="E24" s="53"/>
      <c r="F24" s="55"/>
      <c r="G24" s="53"/>
      <c r="H24" s="56" t="s">
        <v>146</v>
      </c>
      <c r="I24" s="113">
        <v>30</v>
      </c>
      <c r="J24" s="113"/>
      <c r="K24" s="114">
        <v>40211</v>
      </c>
      <c r="L24" s="115">
        <v>46050</v>
      </c>
      <c r="M24" s="73"/>
      <c r="N24" s="119"/>
      <c r="O24" s="112"/>
      <c r="P24" s="112"/>
      <c r="Q24" s="139"/>
      <c r="R24" s="112"/>
    </row>
    <row r="25" spans="1:18">
      <c r="A25" s="235"/>
      <c r="B25" s="68"/>
      <c r="C25" s="68"/>
      <c r="D25" s="53"/>
      <c r="E25" s="53"/>
      <c r="F25" s="55"/>
      <c r="G25" s="53"/>
      <c r="H25" s="56"/>
      <c r="I25" s="113"/>
      <c r="J25" s="113"/>
      <c r="K25" s="114"/>
      <c r="L25" s="115"/>
      <c r="M25" s="73"/>
      <c r="N25" s="119"/>
      <c r="O25" s="112"/>
      <c r="P25" s="112"/>
      <c r="Q25" s="139"/>
      <c r="R25" s="112"/>
    </row>
    <row r="26" spans="1:18">
      <c r="A26" s="231"/>
      <c r="B26" s="65"/>
      <c r="C26" s="65"/>
      <c r="D26" s="53"/>
      <c r="E26" s="53"/>
      <c r="F26" s="55"/>
      <c r="G26" s="53"/>
      <c r="H26" s="56"/>
      <c r="I26" s="116"/>
      <c r="J26" s="113"/>
      <c r="K26" s="114"/>
      <c r="L26" s="115"/>
      <c r="M26" s="73"/>
      <c r="N26" s="119"/>
      <c r="O26" s="112"/>
      <c r="P26" s="112"/>
      <c r="Q26" s="139"/>
      <c r="R26" s="112"/>
    </row>
    <row r="27" spans="1:18">
      <c r="A27" s="231"/>
      <c r="B27" s="65"/>
      <c r="C27" s="65"/>
      <c r="D27" s="53"/>
      <c r="E27" s="53"/>
      <c r="F27" s="55"/>
      <c r="G27" s="53"/>
      <c r="H27" s="253"/>
      <c r="I27" s="255"/>
      <c r="J27" s="255"/>
      <c r="K27" s="256"/>
      <c r="L27" s="257"/>
      <c r="M27" s="73"/>
      <c r="N27" s="119"/>
      <c r="O27" s="112"/>
      <c r="P27" s="112"/>
      <c r="Q27" s="139"/>
      <c r="R27" s="112"/>
    </row>
    <row r="28" spans="1:18">
      <c r="A28" s="231"/>
      <c r="B28" s="65"/>
      <c r="C28" s="65"/>
      <c r="D28" s="53"/>
      <c r="E28" s="53"/>
      <c r="F28" s="55"/>
      <c r="G28" s="53"/>
      <c r="H28" s="56"/>
      <c r="I28" s="116"/>
      <c r="J28" s="113"/>
      <c r="K28" s="114"/>
      <c r="L28" s="115"/>
      <c r="M28" s="73"/>
      <c r="N28" s="119"/>
      <c r="O28" s="112"/>
      <c r="P28" s="112"/>
      <c r="Q28" s="139"/>
      <c r="R28" s="112"/>
    </row>
    <row r="29" spans="1:18">
      <c r="A29" s="235"/>
      <c r="B29" s="68"/>
      <c r="C29" s="68"/>
      <c r="D29" s="53"/>
      <c r="E29" s="53"/>
      <c r="F29" s="55"/>
      <c r="G29" s="53"/>
      <c r="H29" s="56"/>
      <c r="I29" s="113"/>
      <c r="J29" s="113"/>
      <c r="K29" s="114"/>
      <c r="L29" s="115"/>
      <c r="M29" s="73"/>
      <c r="N29" s="119"/>
      <c r="O29" s="112"/>
      <c r="P29" s="112"/>
      <c r="Q29" s="139"/>
      <c r="R29" s="112"/>
    </row>
    <row r="30" spans="1:18">
      <c r="A30" s="64"/>
      <c r="B30" s="65"/>
      <c r="C30" s="65"/>
      <c r="D30" s="53"/>
      <c r="E30" s="53"/>
      <c r="F30" s="55"/>
      <c r="G30" s="53"/>
      <c r="H30" s="56"/>
      <c r="I30" s="113"/>
      <c r="J30" s="113" t="s">
        <v>38</v>
      </c>
      <c r="K30" s="114"/>
      <c r="L30" s="115"/>
      <c r="M30" s="73"/>
      <c r="N30" s="119"/>
      <c r="O30" s="112" t="s">
        <v>38</v>
      </c>
      <c r="P30" s="112"/>
      <c r="Q30" s="139"/>
      <c r="R30" s="112"/>
    </row>
    <row r="31" spans="1:18">
      <c r="A31" s="64"/>
      <c r="B31" s="65"/>
      <c r="C31" s="65"/>
      <c r="D31" s="53"/>
      <c r="E31" s="53"/>
      <c r="F31" s="55"/>
      <c r="G31" s="53"/>
      <c r="H31" s="205"/>
      <c r="I31" s="116"/>
      <c r="J31" s="113"/>
      <c r="K31" s="114"/>
      <c r="L31" s="115"/>
      <c r="M31" s="73"/>
      <c r="N31" s="119"/>
      <c r="O31" s="112"/>
      <c r="P31" s="112"/>
      <c r="Q31" s="139"/>
      <c r="R31" s="112"/>
    </row>
    <row r="32" spans="1:18">
      <c r="A32" s="64"/>
      <c r="B32" s="65"/>
      <c r="C32" s="65"/>
      <c r="D32" s="53"/>
      <c r="E32" s="53"/>
      <c r="F32" s="55"/>
      <c r="G32" s="53"/>
      <c r="H32" s="56"/>
      <c r="I32" s="116"/>
      <c r="J32" s="113"/>
      <c r="K32" s="114"/>
      <c r="L32" s="115"/>
      <c r="M32" s="73"/>
      <c r="N32" s="119"/>
      <c r="O32" s="112"/>
      <c r="P32" s="112"/>
      <c r="Q32" s="139"/>
      <c r="R32" s="112"/>
    </row>
    <row r="33" spans="1:18">
      <c r="A33" s="64"/>
      <c r="B33" s="65"/>
      <c r="C33" s="65"/>
      <c r="D33" s="53"/>
      <c r="E33" s="53"/>
      <c r="F33" s="55"/>
      <c r="G33" s="53"/>
      <c r="H33" s="205"/>
      <c r="I33" s="116"/>
      <c r="J33" s="113"/>
      <c r="K33" s="114"/>
      <c r="L33" s="115"/>
      <c r="M33" s="73"/>
      <c r="N33" s="119"/>
      <c r="O33" s="112"/>
      <c r="P33" s="112"/>
      <c r="Q33" s="139"/>
      <c r="R33" s="112"/>
    </row>
    <row r="34" spans="1:18">
      <c r="A34" s="64"/>
      <c r="B34" s="65"/>
      <c r="C34" s="65"/>
      <c r="D34" s="53"/>
      <c r="E34" s="53"/>
      <c r="F34" s="55"/>
      <c r="G34" s="53"/>
      <c r="H34" s="56"/>
      <c r="I34" s="116"/>
      <c r="J34" s="113"/>
      <c r="K34" s="114"/>
      <c r="L34" s="115"/>
      <c r="M34" s="73"/>
      <c r="N34" s="119"/>
      <c r="O34" s="112"/>
      <c r="P34" s="112"/>
      <c r="Q34" s="139"/>
      <c r="R34" s="112"/>
    </row>
    <row r="35" spans="1:18">
      <c r="A35" s="67"/>
      <c r="B35" s="68"/>
      <c r="C35" s="68"/>
      <c r="D35" s="53"/>
      <c r="E35" s="53"/>
      <c r="F35" s="53"/>
      <c r="G35" s="53"/>
      <c r="H35" s="56"/>
      <c r="I35" s="116"/>
      <c r="J35" s="113"/>
      <c r="K35" s="114"/>
      <c r="L35" s="115"/>
      <c r="M35" s="120"/>
      <c r="N35" s="110"/>
      <c r="O35" s="112"/>
      <c r="P35" s="112"/>
      <c r="Q35" s="139"/>
      <c r="R35" s="112"/>
    </row>
    <row r="36" spans="1:18">
      <c r="A36" s="69"/>
      <c r="B36" s="70"/>
      <c r="C36" s="70"/>
      <c r="D36" s="53"/>
      <c r="E36" s="53"/>
      <c r="F36" s="53"/>
      <c r="G36" s="53"/>
      <c r="H36" s="56"/>
      <c r="I36" s="113"/>
      <c r="J36" s="113"/>
      <c r="K36" s="114"/>
      <c r="L36" s="115"/>
      <c r="M36" s="121"/>
      <c r="N36" s="110"/>
      <c r="O36" s="111"/>
      <c r="P36" s="112"/>
      <c r="Q36" s="139"/>
      <c r="R36" s="112"/>
    </row>
    <row r="37" spans="1:18">
      <c r="A37" s="71"/>
      <c r="B37" s="65"/>
      <c r="C37" s="65"/>
      <c r="D37" s="53"/>
      <c r="E37" s="53"/>
      <c r="F37" s="53"/>
      <c r="G37" s="53"/>
      <c r="H37" s="56"/>
      <c r="I37" s="113"/>
      <c r="J37" s="113"/>
      <c r="K37" s="114"/>
      <c r="L37" s="115"/>
      <c r="M37" s="121"/>
      <c r="N37" s="112"/>
      <c r="O37" s="112"/>
      <c r="P37" s="112"/>
      <c r="Q37" s="139"/>
      <c r="R37" s="112"/>
    </row>
    <row r="38" spans="1:18">
      <c r="A38" s="64"/>
      <c r="B38" s="65"/>
      <c r="C38" s="65"/>
      <c r="D38" s="53"/>
      <c r="E38" s="53"/>
      <c r="F38" s="53"/>
      <c r="G38" s="53"/>
      <c r="H38" s="205"/>
      <c r="I38" s="116"/>
      <c r="J38" s="113"/>
      <c r="K38" s="114"/>
      <c r="L38" s="115"/>
      <c r="M38" s="122"/>
      <c r="N38" s="110"/>
      <c r="O38" s="112"/>
      <c r="P38" s="112"/>
      <c r="Q38" s="139"/>
      <c r="R38" s="112"/>
    </row>
    <row r="39" spans="1:18">
      <c r="A39" s="67"/>
      <c r="B39" s="68"/>
      <c r="C39" s="68"/>
      <c r="D39" s="53" t="s">
        <v>38</v>
      </c>
      <c r="E39" s="53"/>
      <c r="F39" s="53"/>
      <c r="G39" s="72"/>
      <c r="H39" s="56"/>
      <c r="I39" s="113"/>
      <c r="J39" s="113"/>
      <c r="K39" s="114"/>
      <c r="L39" s="115"/>
      <c r="M39" s="122"/>
      <c r="N39" s="110"/>
      <c r="O39" s="111"/>
      <c r="P39" s="112"/>
      <c r="Q39" s="139"/>
      <c r="R39" s="112"/>
    </row>
    <row r="40" spans="1:18">
      <c r="A40" s="71"/>
      <c r="B40" s="68"/>
      <c r="C40" s="68"/>
      <c r="D40" s="53"/>
      <c r="E40" s="53"/>
      <c r="F40" s="53"/>
      <c r="G40" s="55"/>
      <c r="H40" s="214"/>
      <c r="I40" s="113"/>
      <c r="J40" s="113"/>
      <c r="K40" s="114"/>
      <c r="L40" s="115"/>
      <c r="M40" s="121"/>
      <c r="N40" s="110"/>
      <c r="O40" s="111"/>
      <c r="P40" s="112"/>
      <c r="Q40" s="139"/>
      <c r="R40" s="112"/>
    </row>
    <row r="41" spans="1:18">
      <c r="A41" s="64"/>
      <c r="B41" s="65"/>
      <c r="C41" s="65"/>
      <c r="D41" s="53"/>
      <c r="E41" s="72"/>
      <c r="F41" s="53" t="s">
        <v>21</v>
      </c>
      <c r="G41" s="55">
        <f>SUM(B16:B49)</f>
        <v>167</v>
      </c>
      <c r="H41" s="66"/>
      <c r="I41" s="107"/>
      <c r="J41" s="107"/>
      <c r="K41" s="108"/>
      <c r="L41" s="109"/>
      <c r="M41" s="121"/>
      <c r="N41" s="110"/>
      <c r="O41" s="112"/>
      <c r="P41" s="112"/>
      <c r="Q41" s="139"/>
      <c r="R41" s="112"/>
    </row>
    <row r="42" spans="1:18">
      <c r="A42" s="64"/>
      <c r="B42" s="65"/>
      <c r="C42" s="65"/>
      <c r="D42" s="53"/>
      <c r="E42" s="72"/>
      <c r="F42" s="53"/>
      <c r="G42" s="55"/>
      <c r="H42" s="66"/>
      <c r="I42" s="107"/>
      <c r="J42" s="107"/>
      <c r="K42" s="108"/>
      <c r="L42" s="109"/>
      <c r="M42" s="121"/>
      <c r="N42" s="110"/>
      <c r="O42" s="112"/>
      <c r="P42" s="112"/>
      <c r="Q42" s="139"/>
      <c r="R42" s="112"/>
    </row>
    <row r="43" spans="1:18">
      <c r="A43" s="64"/>
      <c r="B43" s="65"/>
      <c r="C43" s="65"/>
      <c r="D43" s="53"/>
      <c r="E43" s="72"/>
      <c r="F43" s="53"/>
      <c r="G43" s="55"/>
      <c r="H43" s="66"/>
      <c r="I43" s="107"/>
      <c r="J43" s="107"/>
      <c r="K43" s="108"/>
      <c r="L43" s="109"/>
      <c r="M43" s="121"/>
      <c r="N43" s="110"/>
      <c r="O43" s="112"/>
      <c r="P43" s="112"/>
      <c r="Q43" s="139"/>
      <c r="R43" s="112"/>
    </row>
    <row r="44" spans="1:18">
      <c r="A44" s="64"/>
      <c r="B44" s="65"/>
      <c r="C44" s="65"/>
      <c r="D44" s="53"/>
      <c r="E44" s="72"/>
      <c r="F44" s="53"/>
      <c r="G44" s="55"/>
      <c r="H44" s="66"/>
      <c r="I44" s="107"/>
      <c r="J44" s="107"/>
      <c r="K44" s="108"/>
      <c r="L44" s="109"/>
      <c r="M44" s="121"/>
      <c r="N44" s="110"/>
      <c r="O44" s="112"/>
      <c r="P44" s="112"/>
      <c r="Q44" s="139"/>
      <c r="R44" s="112"/>
    </row>
    <row r="45" spans="1:18">
      <c r="A45" s="64"/>
      <c r="B45" s="65"/>
      <c r="C45" s="65"/>
      <c r="D45" s="53"/>
      <c r="E45" s="72"/>
      <c r="F45" s="53"/>
      <c r="G45" s="55"/>
      <c r="H45" s="66"/>
      <c r="I45" s="107"/>
      <c r="J45" s="107"/>
      <c r="K45" s="108"/>
      <c r="L45" s="109"/>
      <c r="M45" s="121"/>
      <c r="N45" s="110"/>
      <c r="O45" s="112"/>
      <c r="P45" s="112"/>
      <c r="Q45" s="139"/>
      <c r="R45" s="112"/>
    </row>
    <row r="46" spans="1:18">
      <c r="A46" s="64"/>
      <c r="B46" s="65"/>
      <c r="C46" s="65"/>
      <c r="D46" s="53"/>
      <c r="E46" s="72"/>
      <c r="F46" s="53"/>
      <c r="G46" s="55"/>
      <c r="H46" s="66"/>
      <c r="I46" s="107"/>
      <c r="J46" s="107"/>
      <c r="K46" s="108"/>
      <c r="L46" s="109"/>
      <c r="M46" s="121"/>
      <c r="N46" s="110"/>
      <c r="O46" s="112"/>
      <c r="P46" s="112"/>
      <c r="Q46" s="139"/>
      <c r="R46" s="112"/>
    </row>
    <row r="47" spans="1:18">
      <c r="A47" s="64"/>
      <c r="B47" s="65"/>
      <c r="C47" s="65"/>
      <c r="D47" s="53"/>
      <c r="E47" s="72"/>
      <c r="F47" s="53"/>
      <c r="G47" s="55"/>
      <c r="H47" s="66"/>
      <c r="I47" s="107"/>
      <c r="J47" s="107"/>
      <c r="K47" s="108"/>
      <c r="L47" s="109"/>
      <c r="M47" s="73"/>
      <c r="N47" s="110"/>
      <c r="O47" s="112"/>
      <c r="P47" s="112"/>
      <c r="Q47" s="139"/>
      <c r="R47" s="112"/>
    </row>
    <row r="48" spans="1:18" ht="15.75" customHeight="1">
      <c r="A48" s="64"/>
      <c r="B48" s="65"/>
      <c r="C48" s="65"/>
      <c r="D48" s="53"/>
      <c r="E48" s="72"/>
      <c r="F48" s="53"/>
      <c r="G48" s="55"/>
      <c r="H48" s="66"/>
      <c r="I48" s="107"/>
      <c r="J48" s="107"/>
      <c r="K48" s="108"/>
      <c r="L48" s="109"/>
      <c r="M48" s="73"/>
      <c r="N48" s="110"/>
      <c r="O48" s="111"/>
      <c r="P48" s="112"/>
      <c r="Q48" s="139"/>
      <c r="R48" s="112"/>
    </row>
    <row r="49" spans="1:18">
      <c r="A49" s="62"/>
      <c r="B49" s="63"/>
      <c r="C49" s="63"/>
      <c r="D49" s="73"/>
      <c r="E49" s="74"/>
      <c r="F49" s="74" t="s">
        <v>38</v>
      </c>
      <c r="G49" s="74"/>
      <c r="H49" s="66"/>
      <c r="I49" s="107"/>
      <c r="J49" s="107"/>
      <c r="K49" s="108"/>
      <c r="L49" s="109"/>
      <c r="M49" s="73"/>
      <c r="N49" s="110"/>
      <c r="O49" s="112"/>
      <c r="P49" s="112"/>
      <c r="Q49" s="139"/>
      <c r="R49" s="112"/>
    </row>
    <row r="50" spans="1:18">
      <c r="A50" s="75" t="s">
        <v>21</v>
      </c>
      <c r="B50" s="76">
        <f>G14+G41</f>
        <v>382</v>
      </c>
      <c r="C50" s="77"/>
      <c r="D50" s="78" t="s">
        <v>54</v>
      </c>
      <c r="E50" s="79">
        <f>I53</f>
        <v>494</v>
      </c>
      <c r="F50" s="80"/>
      <c r="G50" s="80"/>
      <c r="H50" s="66"/>
      <c r="I50" s="107"/>
      <c r="J50" s="107"/>
      <c r="K50" s="108"/>
      <c r="L50" s="109"/>
      <c r="M50" s="123"/>
      <c r="N50" s="124"/>
      <c r="O50" s="125"/>
      <c r="P50" s="125"/>
      <c r="Q50" s="144"/>
      <c r="R50" s="112"/>
    </row>
    <row r="51" spans="1:18">
      <c r="A51" s="81" t="s">
        <v>40</v>
      </c>
      <c r="B51" s="82">
        <f>J53+P53</f>
        <v>0</v>
      </c>
      <c r="C51" s="83"/>
      <c r="D51" s="84" t="s">
        <v>41</v>
      </c>
      <c r="E51" s="85">
        <f>O53</f>
        <v>0</v>
      </c>
      <c r="F51" s="86"/>
      <c r="G51" s="86"/>
      <c r="H51" s="87"/>
      <c r="I51" s="126"/>
      <c r="J51" s="126"/>
      <c r="K51" s="127"/>
      <c r="L51" s="109"/>
      <c r="M51" s="123"/>
      <c r="N51" s="128"/>
      <c r="O51" s="125"/>
      <c r="P51" s="125"/>
      <c r="Q51" s="144"/>
      <c r="R51" s="112"/>
    </row>
    <row r="52" spans="1:18">
      <c r="A52" s="88" t="s">
        <v>42</v>
      </c>
      <c r="B52" s="89">
        <f>B53-B54</f>
        <v>-112</v>
      </c>
      <c r="C52" s="90"/>
      <c r="D52" s="91" t="s">
        <v>43</v>
      </c>
      <c r="E52" s="83">
        <f>B51</f>
        <v>0</v>
      </c>
      <c r="F52" s="80"/>
      <c r="G52" s="80"/>
      <c r="H52" s="87"/>
      <c r="I52" s="126"/>
      <c r="J52" s="126"/>
      <c r="K52" s="127"/>
      <c r="L52" s="109"/>
      <c r="M52" s="123"/>
      <c r="N52" s="124" t="s">
        <v>38</v>
      </c>
      <c r="O52" s="125" t="s">
        <v>55</v>
      </c>
      <c r="P52" s="125" t="s">
        <v>38</v>
      </c>
      <c r="Q52" s="144" t="s">
        <v>38</v>
      </c>
      <c r="R52" s="112" t="s">
        <v>38</v>
      </c>
    </row>
    <row r="53" spans="1:18">
      <c r="A53" s="92" t="s">
        <v>45</v>
      </c>
      <c r="B53" s="93">
        <f>B50-B51</f>
        <v>382</v>
      </c>
      <c r="C53" s="94"/>
      <c r="D53" s="84" t="s">
        <v>56</v>
      </c>
      <c r="E53" s="95">
        <f>E50+E51-E52</f>
        <v>494</v>
      </c>
      <c r="F53" s="96"/>
      <c r="G53" s="96"/>
      <c r="H53" s="80" t="s">
        <v>47</v>
      </c>
      <c r="I53" s="129">
        <f>SUM(I3:I52)</f>
        <v>494</v>
      </c>
      <c r="J53" s="130">
        <f>SUM(J3:J52)</f>
        <v>0</v>
      </c>
      <c r="K53" s="131" t="s">
        <v>48</v>
      </c>
      <c r="L53" s="132">
        <f>I53-J53</f>
        <v>494</v>
      </c>
      <c r="M53" s="80"/>
      <c r="N53" s="80" t="s">
        <v>49</v>
      </c>
      <c r="O53" s="133">
        <f>SUM(O3:O52)</f>
        <v>0</v>
      </c>
      <c r="P53" s="130">
        <f>SUM(P3:P52)</f>
        <v>0</v>
      </c>
      <c r="Q53" s="145" t="s">
        <v>48</v>
      </c>
      <c r="R53" s="132">
        <f>O53-P53</f>
        <v>0</v>
      </c>
    </row>
    <row r="54" spans="1:18">
      <c r="A54" s="97" t="s">
        <v>57</v>
      </c>
      <c r="B54" s="98">
        <f>E53</f>
        <v>494</v>
      </c>
      <c r="C54" s="98"/>
      <c r="D54" s="99"/>
      <c r="E54" s="99"/>
      <c r="F54" s="100"/>
      <c r="G54" s="99"/>
      <c r="H54" s="101"/>
      <c r="I54" s="101"/>
      <c r="J54" s="101"/>
      <c r="K54" s="101"/>
      <c r="L54" s="134"/>
      <c r="M54" s="135"/>
      <c r="N54" s="100"/>
      <c r="O54" s="136"/>
      <c r="P54" s="137"/>
      <c r="Q54" s="146"/>
      <c r="R54" s="137"/>
    </row>
  </sheetData>
  <autoFilter ref="H2:L25" xr:uid="{00000000-0009-0000-0000-000001000000}">
    <sortState xmlns:xlrd2="http://schemas.microsoft.com/office/spreadsheetml/2017/richdata2" ref="H2:L25">
      <sortCondition ref="K2:K25"/>
    </sortState>
  </autoFilter>
  <sortState xmlns:xlrd2="http://schemas.microsoft.com/office/spreadsheetml/2017/richdata2" ref="H5:L26">
    <sortCondition ref="H5:H26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3"/>
  <sheetViews>
    <sheetView zoomScale="110" zoomScaleNormal="110" workbookViewId="0">
      <selection activeCell="D25" sqref="D25"/>
    </sheetView>
  </sheetViews>
  <sheetFormatPr defaultColWidth="10.140625" defaultRowHeight="15.75"/>
  <cols>
    <col min="1" max="2" width="10.140625" style="3"/>
    <col min="3" max="3" width="16.7109375" style="3" customWidth="1"/>
    <col min="4" max="5" width="10.140625" style="3"/>
    <col min="6" max="6" width="15.42578125" style="3" customWidth="1"/>
    <col min="7" max="7" width="11.42578125" style="3" customWidth="1"/>
    <col min="8" max="16384" width="10.140625" style="3"/>
  </cols>
  <sheetData>
    <row r="1" spans="1:11" ht="22.5" customHeight="1">
      <c r="A1" s="4"/>
      <c r="B1" s="5">
        <v>0</v>
      </c>
      <c r="C1" s="5"/>
      <c r="D1" s="6"/>
      <c r="E1" s="7"/>
      <c r="F1" s="8"/>
      <c r="G1" s="6"/>
      <c r="H1" s="6" t="s">
        <v>4</v>
      </c>
      <c r="I1" s="6" t="s">
        <v>58</v>
      </c>
      <c r="J1" s="36" t="s">
        <v>6</v>
      </c>
      <c r="K1" s="37"/>
    </row>
    <row r="2" spans="1:11" ht="18.75" customHeight="1">
      <c r="A2" s="9"/>
      <c r="B2" s="10"/>
      <c r="C2" s="10"/>
      <c r="D2" s="11"/>
      <c r="E2" s="12"/>
      <c r="F2" s="13"/>
      <c r="G2" s="13"/>
      <c r="H2" s="13"/>
      <c r="I2" s="13"/>
      <c r="J2" s="38"/>
      <c r="K2" s="39"/>
    </row>
    <row r="3" spans="1:11">
      <c r="A3" s="9"/>
      <c r="B3" s="10"/>
      <c r="C3" s="10"/>
      <c r="D3" s="14"/>
      <c r="E3" s="12"/>
      <c r="F3" s="13" t="s">
        <v>184</v>
      </c>
      <c r="G3" s="13">
        <v>1</v>
      </c>
      <c r="H3" s="13"/>
      <c r="I3" s="13">
        <v>58100</v>
      </c>
      <c r="J3" s="38">
        <v>46056</v>
      </c>
      <c r="K3" s="39"/>
    </row>
    <row r="4" spans="1:11">
      <c r="A4" s="15"/>
      <c r="B4" s="16"/>
      <c r="C4" s="16"/>
      <c r="D4" s="17"/>
      <c r="E4" s="18"/>
      <c r="F4" s="13" t="s">
        <v>149</v>
      </c>
      <c r="G4" s="13">
        <v>2</v>
      </c>
      <c r="H4" s="13"/>
      <c r="I4" s="13">
        <v>55300</v>
      </c>
      <c r="J4" s="38">
        <v>46018</v>
      </c>
      <c r="K4" s="39"/>
    </row>
    <row r="5" spans="1:11">
      <c r="A5" s="19" t="s">
        <v>50</v>
      </c>
      <c r="B5" s="16">
        <v>36</v>
      </c>
      <c r="C5" s="16">
        <v>57300</v>
      </c>
      <c r="D5" s="17" t="s">
        <v>38</v>
      </c>
      <c r="E5" s="18"/>
      <c r="F5" s="13" t="s">
        <v>183</v>
      </c>
      <c r="G5" s="13">
        <v>2</v>
      </c>
      <c r="H5" s="13"/>
      <c r="I5" s="13">
        <v>58100</v>
      </c>
      <c r="J5" s="38">
        <v>46044</v>
      </c>
      <c r="K5" s="39"/>
    </row>
    <row r="6" spans="1:11" ht="31.5">
      <c r="A6" s="20"/>
      <c r="B6" s="229">
        <v>2.2999999999999998</v>
      </c>
      <c r="C6" s="229">
        <v>53300</v>
      </c>
      <c r="D6" s="17"/>
      <c r="E6" s="18"/>
      <c r="F6" s="251" t="s">
        <v>104</v>
      </c>
      <c r="G6" s="251">
        <v>18.5</v>
      </c>
      <c r="H6" s="251"/>
      <c r="I6" s="251" t="s">
        <v>143</v>
      </c>
      <c r="J6" s="252">
        <v>45948</v>
      </c>
      <c r="K6" s="270"/>
    </row>
    <row r="7" spans="1:11">
      <c r="A7" s="19"/>
      <c r="B7" s="229">
        <v>1.5</v>
      </c>
      <c r="C7" s="229">
        <v>54000</v>
      </c>
      <c r="D7" s="17"/>
      <c r="E7" s="18"/>
      <c r="F7" s="13" t="s">
        <v>142</v>
      </c>
      <c r="G7" s="13">
        <v>1</v>
      </c>
      <c r="H7" s="13"/>
      <c r="I7" s="13">
        <v>54400</v>
      </c>
      <c r="J7" s="38">
        <v>45992</v>
      </c>
      <c r="K7" s="39"/>
    </row>
    <row r="8" spans="1:11">
      <c r="A8" s="20"/>
      <c r="B8" s="16">
        <v>0.5</v>
      </c>
      <c r="C8" s="16">
        <v>54500</v>
      </c>
      <c r="D8" s="17"/>
      <c r="E8" s="18"/>
      <c r="F8" s="13" t="s">
        <v>156</v>
      </c>
      <c r="G8" s="13">
        <v>5</v>
      </c>
      <c r="H8" s="13">
        <v>4</v>
      </c>
      <c r="I8" s="13">
        <v>56400</v>
      </c>
      <c r="J8" s="38">
        <v>46020</v>
      </c>
      <c r="K8" s="39"/>
    </row>
    <row r="9" spans="1:11">
      <c r="A9" s="20"/>
      <c r="B9" s="16">
        <v>22</v>
      </c>
      <c r="C9" s="16">
        <v>58400</v>
      </c>
      <c r="D9" s="17"/>
      <c r="E9" s="18"/>
      <c r="F9" s="13" t="s">
        <v>145</v>
      </c>
      <c r="G9" s="13">
        <v>3</v>
      </c>
      <c r="H9" s="13"/>
      <c r="I9" s="13">
        <v>57800</v>
      </c>
      <c r="J9" s="38">
        <v>46028</v>
      </c>
      <c r="K9" s="39"/>
    </row>
    <row r="10" spans="1:11">
      <c r="A10" s="9">
        <v>45808</v>
      </c>
      <c r="B10" s="228"/>
      <c r="C10" s="228"/>
      <c r="D10" s="14"/>
      <c r="E10" s="21"/>
      <c r="F10" s="13" t="s">
        <v>145</v>
      </c>
      <c r="G10" s="13">
        <v>5</v>
      </c>
      <c r="H10" s="13"/>
      <c r="I10" s="203">
        <v>57400</v>
      </c>
      <c r="J10" s="38">
        <v>46031</v>
      </c>
      <c r="K10" s="39"/>
    </row>
    <row r="11" spans="1:11">
      <c r="A11" s="15" t="s">
        <v>132</v>
      </c>
      <c r="B11" s="16"/>
      <c r="C11" s="16"/>
      <c r="D11" s="17"/>
      <c r="E11" s="18"/>
      <c r="F11" s="13" t="s">
        <v>164</v>
      </c>
      <c r="G11" s="13">
        <v>3</v>
      </c>
      <c r="H11" s="13"/>
      <c r="I11" s="13">
        <v>57800</v>
      </c>
      <c r="J11" s="38">
        <v>46023</v>
      </c>
      <c r="K11" s="39"/>
    </row>
    <row r="12" spans="1:11">
      <c r="A12" s="19"/>
      <c r="B12" s="16"/>
      <c r="C12" s="16"/>
      <c r="D12" s="17"/>
      <c r="E12" s="18"/>
      <c r="F12" s="13" t="s">
        <v>168</v>
      </c>
      <c r="G12" s="13">
        <v>10</v>
      </c>
      <c r="H12" s="13"/>
      <c r="I12" s="13">
        <v>58100</v>
      </c>
      <c r="J12" s="38">
        <v>46052</v>
      </c>
      <c r="K12" s="39"/>
    </row>
    <row r="13" spans="1:11" ht="31.5">
      <c r="A13" s="15"/>
      <c r="B13" s="16"/>
      <c r="C13" s="16"/>
      <c r="D13" s="25"/>
      <c r="E13" s="18"/>
      <c r="F13" s="13" t="s">
        <v>195</v>
      </c>
      <c r="G13" s="13">
        <v>3</v>
      </c>
      <c r="H13" s="13"/>
      <c r="I13" s="13">
        <v>58100</v>
      </c>
      <c r="J13" s="38">
        <v>46050</v>
      </c>
      <c r="K13" s="39"/>
    </row>
    <row r="14" spans="1:11">
      <c r="A14" s="9"/>
      <c r="B14" s="10"/>
      <c r="C14" s="10"/>
      <c r="D14" s="22"/>
      <c r="E14" s="21"/>
      <c r="F14" s="271" t="s">
        <v>204</v>
      </c>
      <c r="G14" s="271">
        <v>3</v>
      </c>
      <c r="H14" s="271">
        <v>3</v>
      </c>
      <c r="I14" s="271">
        <v>59200</v>
      </c>
      <c r="J14" s="272">
        <v>46060</v>
      </c>
      <c r="K14" s="39"/>
    </row>
    <row r="15" spans="1:11">
      <c r="A15" s="9"/>
      <c r="B15" s="10"/>
      <c r="C15" s="10"/>
      <c r="D15" s="22"/>
      <c r="E15" s="21"/>
      <c r="F15" s="271" t="s">
        <v>146</v>
      </c>
      <c r="G15" s="271">
        <v>1</v>
      </c>
      <c r="H15" s="271">
        <v>1</v>
      </c>
      <c r="I15" s="271">
        <v>56400</v>
      </c>
      <c r="J15" s="272">
        <v>46020</v>
      </c>
      <c r="K15" s="39"/>
    </row>
    <row r="16" spans="1:11">
      <c r="A16" s="15"/>
      <c r="B16" s="16"/>
      <c r="C16" s="16"/>
      <c r="D16" s="17"/>
      <c r="E16" s="18"/>
      <c r="F16" s="13"/>
      <c r="G16" s="13"/>
      <c r="H16" s="13"/>
      <c r="I16" s="13"/>
      <c r="J16" s="38"/>
      <c r="K16" s="39"/>
    </row>
    <row r="17" spans="1:11">
      <c r="A17" s="15"/>
      <c r="B17" s="16"/>
      <c r="C17" s="16"/>
      <c r="D17" s="17"/>
      <c r="E17" s="18"/>
      <c r="F17" s="271" t="s">
        <v>9</v>
      </c>
      <c r="G17" s="271">
        <v>1</v>
      </c>
      <c r="H17" s="271">
        <v>1</v>
      </c>
      <c r="I17" s="271">
        <v>59200</v>
      </c>
      <c r="J17" s="272">
        <v>46062</v>
      </c>
      <c r="K17" s="40"/>
    </row>
    <row r="18" spans="1:11">
      <c r="A18" s="23" t="s">
        <v>59</v>
      </c>
      <c r="B18" s="10"/>
      <c r="C18" s="10"/>
      <c r="D18" s="24"/>
      <c r="E18" s="11"/>
      <c r="F18" s="271" t="s">
        <v>103</v>
      </c>
      <c r="G18" s="271">
        <v>1</v>
      </c>
      <c r="H18" s="271">
        <v>1</v>
      </c>
      <c r="I18" s="271">
        <v>59200</v>
      </c>
      <c r="J18" s="272">
        <v>46062</v>
      </c>
      <c r="K18" s="39"/>
    </row>
    <row r="19" spans="1:11">
      <c r="A19" s="9" t="s">
        <v>60</v>
      </c>
      <c r="B19" s="10"/>
      <c r="C19" s="10"/>
      <c r="D19" s="24"/>
      <c r="E19" s="11">
        <v>45021</v>
      </c>
      <c r="F19" s="13" t="s">
        <v>70</v>
      </c>
      <c r="G19" s="13">
        <v>0.5</v>
      </c>
      <c r="H19" s="13">
        <v>0.5</v>
      </c>
      <c r="I19" s="13">
        <v>59200</v>
      </c>
      <c r="J19" s="38">
        <v>46062</v>
      </c>
      <c r="K19" s="39"/>
    </row>
    <row r="20" spans="1:11">
      <c r="A20" s="15">
        <v>45615</v>
      </c>
      <c r="B20" s="16"/>
      <c r="C20" s="16"/>
      <c r="D20" s="17" t="s">
        <v>38</v>
      </c>
      <c r="E20" s="18"/>
      <c r="F20" s="13" t="s">
        <v>204</v>
      </c>
      <c r="G20" s="13">
        <v>2</v>
      </c>
      <c r="H20" s="13">
        <v>2</v>
      </c>
      <c r="I20" s="13">
        <v>59200</v>
      </c>
      <c r="J20" s="38">
        <v>46062</v>
      </c>
      <c r="K20" s="39"/>
    </row>
    <row r="21" spans="1:11">
      <c r="A21" s="15"/>
      <c r="B21" s="16"/>
      <c r="C21" s="16"/>
      <c r="D21" s="17"/>
      <c r="E21" s="17"/>
      <c r="F21" s="271" t="s">
        <v>222</v>
      </c>
      <c r="G21" s="271">
        <v>1</v>
      </c>
      <c r="H21" s="271">
        <v>1</v>
      </c>
      <c r="I21" s="271">
        <v>59200</v>
      </c>
      <c r="J21" s="272">
        <v>46062</v>
      </c>
      <c r="K21" s="39"/>
    </row>
    <row r="22" spans="1:11" ht="31.5">
      <c r="A22" s="15" t="s">
        <v>61</v>
      </c>
      <c r="B22" s="16"/>
      <c r="C22" s="16"/>
      <c r="D22" s="17"/>
      <c r="E22" s="17"/>
      <c r="F22" s="271" t="s">
        <v>223</v>
      </c>
      <c r="G22" s="271">
        <v>1</v>
      </c>
      <c r="H22" s="271">
        <v>1</v>
      </c>
      <c r="I22" s="271" t="s">
        <v>224</v>
      </c>
      <c r="J22" s="272">
        <v>46062</v>
      </c>
      <c r="K22" s="39"/>
    </row>
    <row r="23" spans="1:11">
      <c r="A23" s="15"/>
      <c r="B23" s="16">
        <v>22</v>
      </c>
      <c r="C23" s="16">
        <v>58700</v>
      </c>
      <c r="D23" s="25"/>
      <c r="E23" s="17"/>
      <c r="F23" s="13" t="s">
        <v>18</v>
      </c>
      <c r="G23" s="13">
        <v>4</v>
      </c>
      <c r="H23" s="13">
        <v>4</v>
      </c>
      <c r="I23" s="13">
        <v>59800</v>
      </c>
      <c r="J23" s="38">
        <v>46064</v>
      </c>
      <c r="K23" s="39"/>
    </row>
    <row r="24" spans="1:11">
      <c r="A24" s="15"/>
      <c r="B24" s="16"/>
      <c r="C24" s="16"/>
      <c r="D24" s="17"/>
      <c r="E24" s="18"/>
      <c r="F24" s="271" t="s">
        <v>88</v>
      </c>
      <c r="G24" s="271">
        <v>0.5</v>
      </c>
      <c r="H24" s="271">
        <v>0.5</v>
      </c>
      <c r="I24" s="271">
        <v>59800</v>
      </c>
      <c r="J24" s="272">
        <v>46064</v>
      </c>
      <c r="K24" s="39"/>
    </row>
    <row r="25" spans="1:11">
      <c r="A25" s="15"/>
      <c r="B25" s="16"/>
      <c r="C25" s="16"/>
      <c r="D25" s="17"/>
      <c r="E25" s="18"/>
      <c r="F25" s="271" t="s">
        <v>36</v>
      </c>
      <c r="G25" s="271">
        <v>2</v>
      </c>
      <c r="H25" s="271">
        <v>2</v>
      </c>
      <c r="I25" s="271">
        <v>59800</v>
      </c>
      <c r="J25" s="272">
        <v>46065</v>
      </c>
      <c r="K25" s="39"/>
    </row>
    <row r="26" spans="1:11">
      <c r="A26" s="15"/>
      <c r="B26" s="16"/>
      <c r="C26" s="16"/>
      <c r="D26" s="17"/>
      <c r="E26" s="18"/>
      <c r="F26" s="271" t="s">
        <v>74</v>
      </c>
      <c r="G26" s="271">
        <v>1</v>
      </c>
      <c r="H26" s="271">
        <v>1</v>
      </c>
      <c r="I26" s="271">
        <v>59800</v>
      </c>
      <c r="J26" s="272">
        <v>46065</v>
      </c>
      <c r="K26" s="39"/>
    </row>
    <row r="27" spans="1:11">
      <c r="A27" s="15"/>
      <c r="B27" s="16"/>
      <c r="C27" s="16"/>
      <c r="D27" s="18"/>
      <c r="E27" s="18"/>
      <c r="F27" s="13" t="s">
        <v>226</v>
      </c>
      <c r="G27" s="13">
        <v>4</v>
      </c>
      <c r="H27" s="13">
        <v>4</v>
      </c>
      <c r="I27" s="13">
        <v>59800</v>
      </c>
      <c r="J27" s="38">
        <v>46065</v>
      </c>
      <c r="K27" s="39"/>
    </row>
    <row r="28" spans="1:11">
      <c r="A28" s="20" t="s">
        <v>98</v>
      </c>
      <c r="B28" s="16"/>
      <c r="C28" s="16"/>
      <c r="D28" s="17"/>
      <c r="E28" s="18"/>
      <c r="F28" s="13"/>
      <c r="G28" s="13"/>
      <c r="H28" s="13"/>
      <c r="I28" s="13"/>
      <c r="J28" s="38"/>
      <c r="K28" s="39"/>
    </row>
    <row r="29" spans="1:11">
      <c r="A29" s="15"/>
      <c r="B29" s="16"/>
      <c r="C29" s="16"/>
      <c r="D29" s="17"/>
      <c r="E29" s="18"/>
      <c r="F29" s="13"/>
      <c r="G29" s="13"/>
      <c r="H29" s="13"/>
      <c r="I29" s="13"/>
      <c r="J29" s="38"/>
      <c r="K29" s="39"/>
    </row>
    <row r="30" spans="1:11">
      <c r="A30" s="20"/>
      <c r="B30" s="16"/>
      <c r="C30" s="16"/>
      <c r="D30" s="17"/>
      <c r="E30" s="18"/>
      <c r="F30" s="271"/>
      <c r="G30" s="271"/>
      <c r="H30" s="271"/>
      <c r="I30" s="271"/>
      <c r="J30" s="272"/>
      <c r="K30" s="39"/>
    </row>
    <row r="31" spans="1:11">
      <c r="A31" s="20"/>
      <c r="B31" s="16"/>
      <c r="C31" s="16"/>
      <c r="D31" s="17"/>
      <c r="E31" s="18"/>
      <c r="F31" s="271"/>
      <c r="G31" s="271"/>
      <c r="H31" s="271"/>
      <c r="I31" s="271"/>
      <c r="J31" s="272"/>
      <c r="K31" s="39"/>
    </row>
    <row r="32" spans="1:11">
      <c r="A32" s="20"/>
      <c r="B32" s="16"/>
      <c r="C32" s="16"/>
      <c r="D32" s="25"/>
      <c r="E32" s="26"/>
      <c r="F32" s="271"/>
      <c r="G32" s="271"/>
      <c r="H32" s="271"/>
      <c r="I32" s="271"/>
      <c r="J32" s="272"/>
      <c r="K32" s="39"/>
    </row>
    <row r="33" spans="1:11">
      <c r="A33" s="20"/>
      <c r="B33" s="16"/>
      <c r="C33" s="16"/>
      <c r="D33" s="25"/>
      <c r="E33" s="26"/>
      <c r="F33" s="13"/>
      <c r="G33" s="13"/>
      <c r="H33" s="13"/>
      <c r="I33" s="13"/>
      <c r="J33" s="38"/>
      <c r="K33" s="39"/>
    </row>
    <row r="34" spans="1:11">
      <c r="A34" s="20"/>
      <c r="B34" s="16"/>
      <c r="C34" s="16"/>
      <c r="D34" s="25"/>
      <c r="E34" s="26"/>
      <c r="F34" s="13"/>
      <c r="G34" s="13"/>
      <c r="H34" s="13"/>
      <c r="I34" s="13"/>
      <c r="J34" s="38"/>
      <c r="K34" s="39"/>
    </row>
    <row r="35" spans="1:11">
      <c r="A35" s="20"/>
      <c r="B35" s="16"/>
      <c r="C35" s="16"/>
      <c r="D35" s="25"/>
      <c r="E35" s="26"/>
      <c r="F35" s="13"/>
      <c r="G35" s="13"/>
      <c r="H35" s="13"/>
      <c r="I35" s="13"/>
      <c r="J35" s="38"/>
      <c r="K35" s="39"/>
    </row>
    <row r="36" spans="1:11">
      <c r="A36" s="20"/>
      <c r="B36" s="16"/>
      <c r="C36" s="16"/>
      <c r="D36" s="25"/>
      <c r="E36" s="26"/>
      <c r="F36" s="13"/>
      <c r="G36" s="13"/>
      <c r="H36" s="13"/>
      <c r="I36" s="13"/>
      <c r="J36" s="38"/>
      <c r="K36" s="39"/>
    </row>
    <row r="37" spans="1:11">
      <c r="A37" s="20"/>
      <c r="B37" s="16"/>
      <c r="C37" s="16"/>
      <c r="D37" s="25"/>
      <c r="E37" s="26"/>
      <c r="F37" s="13"/>
      <c r="G37" s="13"/>
      <c r="H37" s="13"/>
      <c r="I37" s="13"/>
      <c r="J37" s="38"/>
      <c r="K37" s="39"/>
    </row>
    <row r="38" spans="1:11">
      <c r="A38" s="20"/>
      <c r="B38" s="16"/>
      <c r="C38" s="16"/>
      <c r="D38" s="25"/>
      <c r="E38" s="26"/>
      <c r="F38" s="13"/>
      <c r="G38" s="13"/>
      <c r="H38" s="13"/>
      <c r="I38" s="13"/>
      <c r="J38" s="38"/>
      <c r="K38" s="39"/>
    </row>
    <row r="39" spans="1:11">
      <c r="A39" s="20"/>
      <c r="B39" s="16"/>
      <c r="C39" s="16"/>
      <c r="D39" s="25"/>
      <c r="E39" s="26"/>
      <c r="F39" s="13"/>
      <c r="G39" s="13"/>
      <c r="H39" s="13"/>
      <c r="I39" s="13"/>
      <c r="J39" s="38"/>
      <c r="K39" s="39"/>
    </row>
    <row r="40" spans="1:11">
      <c r="A40" s="20"/>
      <c r="B40" s="16"/>
      <c r="C40" s="16"/>
      <c r="D40" s="25"/>
      <c r="E40" s="26"/>
      <c r="F40" s="13"/>
      <c r="G40" s="13"/>
      <c r="H40" s="13"/>
      <c r="I40" s="13"/>
      <c r="J40" s="38"/>
      <c r="K40" s="39"/>
    </row>
    <row r="41" spans="1:11">
      <c r="A41" s="20"/>
      <c r="B41" s="16"/>
      <c r="C41" s="16"/>
      <c r="D41" s="25"/>
      <c r="E41" s="26"/>
      <c r="F41" s="13"/>
      <c r="G41" s="13"/>
      <c r="H41" s="13"/>
      <c r="I41" s="13"/>
      <c r="J41" s="38"/>
      <c r="K41" s="39"/>
    </row>
    <row r="42" spans="1:11">
      <c r="A42" s="20"/>
      <c r="B42" s="16"/>
      <c r="C42" s="16"/>
      <c r="D42" s="25"/>
      <c r="E42" s="26"/>
      <c r="F42" s="13"/>
      <c r="G42" s="13"/>
      <c r="H42" s="13"/>
      <c r="I42" s="13"/>
      <c r="J42" s="38"/>
      <c r="K42" s="39"/>
    </row>
    <row r="43" spans="1:11">
      <c r="A43" s="27"/>
      <c r="B43" s="28"/>
      <c r="C43" s="28"/>
      <c r="D43" s="29"/>
      <c r="E43" s="30"/>
      <c r="F43" s="13"/>
      <c r="G43" s="13"/>
      <c r="H43" s="13"/>
      <c r="I43" s="13"/>
      <c r="J43" s="38"/>
      <c r="K43" s="39"/>
    </row>
    <row r="44" spans="1:11">
      <c r="A44" s="31" t="s">
        <v>21</v>
      </c>
      <c r="B44" s="32">
        <f>SUM(B1:B43)</f>
        <v>84.3</v>
      </c>
      <c r="C44" s="32"/>
      <c r="D44" s="33"/>
      <c r="E44" s="34"/>
      <c r="F44" s="35" t="s">
        <v>21</v>
      </c>
      <c r="G44" s="35">
        <f>SUM(G1:G43)</f>
        <v>75.5</v>
      </c>
      <c r="H44" s="35">
        <f>SUM(H1:H43)</f>
        <v>26</v>
      </c>
      <c r="I44" s="35"/>
      <c r="J44" s="41"/>
      <c r="K44" s="42"/>
    </row>
    <row r="48" spans="1:11">
      <c r="E48" s="3" t="s">
        <v>38</v>
      </c>
    </row>
    <row r="50" spans="4:7">
      <c r="D50" s="3" t="s">
        <v>38</v>
      </c>
    </row>
    <row r="53" spans="4:7">
      <c r="G53" s="3" t="s">
        <v>38</v>
      </c>
    </row>
  </sheetData>
  <sortState xmlns:xlrd2="http://schemas.microsoft.com/office/spreadsheetml/2017/richdata2" ref="F3:J32">
    <sortCondition ref="F3:F32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C32"/>
  <sheetViews>
    <sheetView workbookViewId="0">
      <selection activeCell="A4" sqref="A4:C31"/>
      <pivotSelection pane="bottomRight" showHeader="1" extendable="1" axis="axisRow" max="29" activeRow="3" previousRow="30" click="1" r:id="rId1">
        <pivotArea dataOnly="0" axis="axisRow" fieldPosition="0">
          <references count="1">
            <reference field="0" count="28">
              <x v="1"/>
              <x v="7"/>
              <x v="22"/>
              <x v="28"/>
              <x v="30"/>
              <x v="31"/>
              <x v="37"/>
              <x v="42"/>
              <x v="48"/>
              <x v="58"/>
              <x v="59"/>
              <x v="84"/>
              <x v="93"/>
              <x v="95"/>
              <x v="102"/>
              <x v="106"/>
              <x v="108"/>
              <x v="114"/>
              <x v="125"/>
              <x v="133"/>
              <x v="153"/>
              <x v="174"/>
              <x v="189"/>
              <x v="191"/>
              <x v="204"/>
              <x v="205"/>
              <x v="207"/>
              <x v="210"/>
            </reference>
          </references>
        </pivotArea>
      </pivotSelection>
    </sheetView>
  </sheetViews>
  <sheetFormatPr defaultColWidth="9" defaultRowHeight="15"/>
  <cols>
    <col min="1" max="1" width="20.7109375" bestFit="1" customWidth="1"/>
    <col min="2" max="2" width="10.28515625" customWidth="1"/>
    <col min="3" max="3" width="15.140625" customWidth="1"/>
  </cols>
  <sheetData>
    <row r="3" spans="1:3">
      <c r="A3" s="207" t="s">
        <v>62</v>
      </c>
      <c r="B3" s="208" t="s">
        <v>63</v>
      </c>
      <c r="C3" s="209" t="s">
        <v>64</v>
      </c>
    </row>
    <row r="4" spans="1:3">
      <c r="A4" s="210" t="s">
        <v>215</v>
      </c>
      <c r="B4">
        <v>33</v>
      </c>
      <c r="C4" s="211">
        <v>42411</v>
      </c>
    </row>
    <row r="5" spans="1:3">
      <c r="A5" s="210" t="s">
        <v>8</v>
      </c>
      <c r="B5">
        <v>333</v>
      </c>
      <c r="C5" s="211">
        <v>41411</v>
      </c>
    </row>
    <row r="6" spans="1:3">
      <c r="A6" s="210" t="s">
        <v>203</v>
      </c>
      <c r="B6">
        <v>35</v>
      </c>
      <c r="C6" s="211">
        <v>41611</v>
      </c>
    </row>
    <row r="7" spans="1:3">
      <c r="A7" s="210" t="s">
        <v>200</v>
      </c>
      <c r="B7">
        <v>200</v>
      </c>
      <c r="C7" s="211">
        <v>41611</v>
      </c>
    </row>
    <row r="8" spans="1:3">
      <c r="A8" s="210" t="s">
        <v>154</v>
      </c>
      <c r="B8">
        <v>31</v>
      </c>
      <c r="C8" s="211">
        <v>42411</v>
      </c>
    </row>
    <row r="9" spans="1:3">
      <c r="A9" s="210" t="s">
        <v>186</v>
      </c>
      <c r="B9">
        <v>251</v>
      </c>
      <c r="C9" s="211">
        <v>41411</v>
      </c>
    </row>
    <row r="10" spans="1:3">
      <c r="A10" s="210" t="s">
        <v>165</v>
      </c>
      <c r="B10">
        <v>7</v>
      </c>
      <c r="C10" s="211">
        <v>42511</v>
      </c>
    </row>
    <row r="11" spans="1:3">
      <c r="A11" s="210" t="s">
        <v>148</v>
      </c>
      <c r="B11">
        <v>18</v>
      </c>
      <c r="C11" s="211">
        <v>38811</v>
      </c>
    </row>
    <row r="12" spans="1:3">
      <c r="A12" s="210" t="s">
        <v>214</v>
      </c>
      <c r="B12">
        <v>40</v>
      </c>
      <c r="C12" s="211">
        <v>42411</v>
      </c>
    </row>
    <row r="13" spans="1:3">
      <c r="A13" s="210" t="s">
        <v>19</v>
      </c>
      <c r="B13">
        <v>525</v>
      </c>
      <c r="C13" s="211">
        <v>41761</v>
      </c>
    </row>
    <row r="14" spans="1:3">
      <c r="A14" s="210" t="s">
        <v>189</v>
      </c>
      <c r="B14">
        <v>9</v>
      </c>
      <c r="C14" s="211">
        <v>41411</v>
      </c>
    </row>
    <row r="15" spans="1:3">
      <c r="A15" s="210" t="s">
        <v>145</v>
      </c>
      <c r="B15">
        <v>147</v>
      </c>
      <c r="C15" s="211">
        <v>41436</v>
      </c>
    </row>
    <row r="16" spans="1:3">
      <c r="A16" s="210" t="s">
        <v>20</v>
      </c>
      <c r="B16">
        <v>275</v>
      </c>
      <c r="C16" s="211">
        <v>42161</v>
      </c>
    </row>
    <row r="17" spans="1:3">
      <c r="A17" s="210" t="s">
        <v>147</v>
      </c>
      <c r="B17">
        <v>33</v>
      </c>
      <c r="C17" s="211">
        <v>41411</v>
      </c>
    </row>
    <row r="18" spans="1:3">
      <c r="A18" s="210" t="s">
        <v>190</v>
      </c>
      <c r="B18">
        <v>35</v>
      </c>
      <c r="C18" s="211">
        <v>41411</v>
      </c>
    </row>
    <row r="19" spans="1:3">
      <c r="A19" s="210" t="s">
        <v>23</v>
      </c>
      <c r="B19">
        <v>50</v>
      </c>
      <c r="C19" s="211">
        <v>42811</v>
      </c>
    </row>
    <row r="20" spans="1:3">
      <c r="A20" s="210" t="s">
        <v>168</v>
      </c>
      <c r="B20">
        <v>155</v>
      </c>
      <c r="C20" s="211">
        <v>41644.333333333336</v>
      </c>
    </row>
    <row r="21" spans="1:3">
      <c r="A21" s="210" t="s">
        <v>174</v>
      </c>
      <c r="B21">
        <v>37</v>
      </c>
      <c r="C21" s="211">
        <v>41011</v>
      </c>
    </row>
    <row r="22" spans="1:3">
      <c r="A22" s="210" t="s">
        <v>204</v>
      </c>
      <c r="B22">
        <v>35</v>
      </c>
      <c r="C22" s="211">
        <v>41611</v>
      </c>
    </row>
    <row r="23" spans="1:3">
      <c r="A23" s="210" t="s">
        <v>27</v>
      </c>
      <c r="B23">
        <v>220</v>
      </c>
      <c r="C23" s="211">
        <v>41761</v>
      </c>
    </row>
    <row r="24" spans="1:3">
      <c r="A24" s="210" t="s">
        <v>32</v>
      </c>
      <c r="B24">
        <v>70</v>
      </c>
      <c r="C24" s="211" t="e">
        <v>#DIV/0!</v>
      </c>
    </row>
    <row r="25" spans="1:3">
      <c r="A25" s="210" t="s">
        <v>155</v>
      </c>
      <c r="B25">
        <v>18</v>
      </c>
      <c r="C25" s="211" t="e">
        <v>#DIV/0!</v>
      </c>
    </row>
    <row r="26" spans="1:3">
      <c r="A26" s="210" t="s">
        <v>35</v>
      </c>
      <c r="B26">
        <v>35</v>
      </c>
      <c r="C26" s="211" t="e">
        <v>#DIV/0!</v>
      </c>
    </row>
    <row r="27" spans="1:3">
      <c r="A27" s="210" t="s">
        <v>175</v>
      </c>
      <c r="B27">
        <v>37</v>
      </c>
      <c r="C27" s="211" t="e">
        <v>#DIV/0!</v>
      </c>
    </row>
    <row r="28" spans="1:3">
      <c r="A28" s="210" t="s">
        <v>196</v>
      </c>
      <c r="B28">
        <v>43</v>
      </c>
      <c r="C28" s="211">
        <v>41611</v>
      </c>
    </row>
    <row r="29" spans="1:3">
      <c r="A29" s="210" t="s">
        <v>36</v>
      </c>
      <c r="B29">
        <v>80</v>
      </c>
      <c r="C29" s="211">
        <v>41911</v>
      </c>
    </row>
    <row r="30" spans="1:3">
      <c r="A30" s="210" t="s">
        <v>146</v>
      </c>
      <c r="B30">
        <v>193</v>
      </c>
      <c r="C30" s="211">
        <v>41661</v>
      </c>
    </row>
    <row r="31" spans="1:3">
      <c r="A31" s="210" t="s">
        <v>185</v>
      </c>
      <c r="B31">
        <v>25</v>
      </c>
      <c r="C31" s="211">
        <v>41911</v>
      </c>
    </row>
    <row r="32" spans="1:3">
      <c r="A32" s="212" t="s">
        <v>65</v>
      </c>
      <c r="B32" s="275">
        <v>2970</v>
      </c>
      <c r="C32" s="213">
        <v>41649.23529411765</v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C64"/>
  <sheetViews>
    <sheetView topLeftCell="A34" workbookViewId="0">
      <selection activeCell="A41" sqref="A41"/>
    </sheetView>
  </sheetViews>
  <sheetFormatPr defaultColWidth="9" defaultRowHeight="15"/>
  <cols>
    <col min="1" max="1" width="19.85546875" bestFit="1" customWidth="1"/>
    <col min="2" max="2" width="10.28515625" customWidth="1"/>
    <col min="3" max="3" width="15.140625" customWidth="1"/>
  </cols>
  <sheetData>
    <row r="3" spans="1:3">
      <c r="A3" s="207" t="s">
        <v>62</v>
      </c>
      <c r="B3" s="208" t="s">
        <v>63</v>
      </c>
      <c r="C3" s="209" t="s">
        <v>64</v>
      </c>
    </row>
    <row r="4" spans="1:3">
      <c r="A4" s="210" t="s">
        <v>95</v>
      </c>
      <c r="B4">
        <v>15</v>
      </c>
      <c r="C4" s="211">
        <v>41611</v>
      </c>
    </row>
    <row r="5" spans="1:3">
      <c r="A5" s="210" t="s">
        <v>191</v>
      </c>
      <c r="B5">
        <v>15</v>
      </c>
      <c r="C5" s="211">
        <v>41411</v>
      </c>
    </row>
    <row r="6" spans="1:3">
      <c r="A6" s="210" t="s">
        <v>181</v>
      </c>
      <c r="B6">
        <v>14</v>
      </c>
      <c r="C6" s="211">
        <v>41911</v>
      </c>
    </row>
    <row r="7" spans="1:3">
      <c r="A7" s="210" t="s">
        <v>212</v>
      </c>
      <c r="B7">
        <v>10</v>
      </c>
      <c r="C7" s="211">
        <v>42411</v>
      </c>
    </row>
    <row r="8" spans="1:3">
      <c r="A8" s="210" t="s">
        <v>159</v>
      </c>
      <c r="B8">
        <v>29</v>
      </c>
      <c r="C8" s="211">
        <v>41386</v>
      </c>
    </row>
    <row r="9" spans="1:3">
      <c r="A9" s="210" t="s">
        <v>9</v>
      </c>
      <c r="B9">
        <v>27</v>
      </c>
      <c r="C9" s="211">
        <v>42161</v>
      </c>
    </row>
    <row r="10" spans="1:3">
      <c r="A10" s="210" t="s">
        <v>152</v>
      </c>
      <c r="B10">
        <v>4</v>
      </c>
      <c r="C10" s="211">
        <v>41911</v>
      </c>
    </row>
    <row r="11" spans="1:3">
      <c r="A11" s="210" t="s">
        <v>193</v>
      </c>
      <c r="B11">
        <v>5</v>
      </c>
      <c r="C11" s="211">
        <v>41411</v>
      </c>
    </row>
    <row r="12" spans="1:3">
      <c r="A12" s="210" t="s">
        <v>182</v>
      </c>
      <c r="B12">
        <v>2</v>
      </c>
      <c r="C12" s="211">
        <v>41911</v>
      </c>
    </row>
    <row r="13" spans="1:3">
      <c r="A13" s="210" t="s">
        <v>12</v>
      </c>
      <c r="B13">
        <v>21</v>
      </c>
      <c r="C13" s="211">
        <v>41611</v>
      </c>
    </row>
    <row r="14" spans="1:3">
      <c r="A14" s="210" t="s">
        <v>144</v>
      </c>
      <c r="B14">
        <v>20</v>
      </c>
      <c r="C14" s="211">
        <v>41661</v>
      </c>
    </row>
    <row r="15" spans="1:3">
      <c r="A15" s="210" t="s">
        <v>131</v>
      </c>
      <c r="B15">
        <v>9</v>
      </c>
      <c r="C15" s="211">
        <v>41611</v>
      </c>
    </row>
    <row r="16" spans="1:3">
      <c r="A16" s="210" t="s">
        <v>176</v>
      </c>
      <c r="B16">
        <v>273</v>
      </c>
      <c r="C16" s="211">
        <v>38111</v>
      </c>
    </row>
    <row r="17" spans="1:3">
      <c r="A17" s="210" t="s">
        <v>16</v>
      </c>
      <c r="B17">
        <v>15</v>
      </c>
      <c r="C17" s="211">
        <v>42411</v>
      </c>
    </row>
    <row r="18" spans="1:3">
      <c r="A18" s="210" t="s">
        <v>161</v>
      </c>
      <c r="B18">
        <v>22</v>
      </c>
      <c r="C18" s="211">
        <v>41511</v>
      </c>
    </row>
    <row r="19" spans="1:3">
      <c r="A19" s="210" t="s">
        <v>74</v>
      </c>
      <c r="B19">
        <v>20</v>
      </c>
      <c r="C19" s="211">
        <v>41611</v>
      </c>
    </row>
    <row r="20" spans="1:3">
      <c r="A20" s="210" t="s">
        <v>211</v>
      </c>
      <c r="B20">
        <v>20</v>
      </c>
      <c r="C20" s="211">
        <v>42411</v>
      </c>
    </row>
    <row r="21" spans="1:3">
      <c r="A21" s="210" t="s">
        <v>153</v>
      </c>
      <c r="B21">
        <v>5</v>
      </c>
      <c r="C21" s="211">
        <v>42511</v>
      </c>
    </row>
    <row r="22" spans="1:3">
      <c r="A22" s="210" t="s">
        <v>67</v>
      </c>
      <c r="B22">
        <v>15</v>
      </c>
      <c r="C22" s="211">
        <v>43411</v>
      </c>
    </row>
    <row r="23" spans="1:3">
      <c r="A23" s="210" t="s">
        <v>177</v>
      </c>
      <c r="B23">
        <v>8</v>
      </c>
      <c r="C23" s="211">
        <v>41411</v>
      </c>
    </row>
    <row r="24" spans="1:3">
      <c r="A24" s="210" t="s">
        <v>218</v>
      </c>
      <c r="B24">
        <v>30</v>
      </c>
      <c r="C24" s="211">
        <v>43411</v>
      </c>
    </row>
    <row r="25" spans="1:3">
      <c r="A25" s="210" t="s">
        <v>162</v>
      </c>
      <c r="B25">
        <v>16</v>
      </c>
      <c r="C25" s="211">
        <v>42411</v>
      </c>
    </row>
    <row r="26" spans="1:3">
      <c r="A26" s="210" t="s">
        <v>17</v>
      </c>
      <c r="B26">
        <v>16</v>
      </c>
      <c r="C26" s="211">
        <v>42411</v>
      </c>
    </row>
    <row r="27" spans="1:3">
      <c r="A27" s="210" t="s">
        <v>103</v>
      </c>
      <c r="B27">
        <v>30</v>
      </c>
      <c r="C27" s="211">
        <v>42411</v>
      </c>
    </row>
    <row r="28" spans="1:3">
      <c r="A28" s="210" t="s">
        <v>188</v>
      </c>
      <c r="B28">
        <v>1</v>
      </c>
      <c r="C28" s="211">
        <v>41411</v>
      </c>
    </row>
    <row r="29" spans="1:3">
      <c r="A29" s="210" t="s">
        <v>206</v>
      </c>
      <c r="B29">
        <v>10</v>
      </c>
      <c r="C29" s="211">
        <v>41611</v>
      </c>
    </row>
    <row r="30" spans="1:3">
      <c r="A30" s="210" t="s">
        <v>216</v>
      </c>
      <c r="B30">
        <v>11</v>
      </c>
      <c r="C30" s="211">
        <v>43411</v>
      </c>
    </row>
    <row r="31" spans="1:3">
      <c r="A31" s="210" t="s">
        <v>171</v>
      </c>
      <c r="B31">
        <v>28</v>
      </c>
      <c r="C31" s="211">
        <v>41911</v>
      </c>
    </row>
    <row r="32" spans="1:3">
      <c r="A32" s="210" t="s">
        <v>141</v>
      </c>
      <c r="B32">
        <v>12</v>
      </c>
      <c r="C32" s="211">
        <v>36611</v>
      </c>
    </row>
    <row r="33" spans="1:3">
      <c r="A33" s="210" t="s">
        <v>170</v>
      </c>
      <c r="B33">
        <v>15</v>
      </c>
      <c r="C33" s="211">
        <v>40911</v>
      </c>
    </row>
    <row r="34" spans="1:3">
      <c r="A34" s="210" t="s">
        <v>97</v>
      </c>
      <c r="B34">
        <v>30</v>
      </c>
      <c r="C34" s="211">
        <v>41611</v>
      </c>
    </row>
    <row r="35" spans="1:3">
      <c r="A35" s="210" t="s">
        <v>213</v>
      </c>
      <c r="B35">
        <v>30</v>
      </c>
      <c r="C35" s="211">
        <v>42411</v>
      </c>
    </row>
    <row r="36" spans="1:3">
      <c r="A36" s="210" t="s">
        <v>172</v>
      </c>
      <c r="B36">
        <v>10</v>
      </c>
      <c r="C36" s="211">
        <v>42411</v>
      </c>
    </row>
    <row r="37" spans="1:3">
      <c r="A37" s="210" t="s">
        <v>107</v>
      </c>
      <c r="B37">
        <v>20</v>
      </c>
      <c r="C37" s="211">
        <v>41611</v>
      </c>
    </row>
    <row r="38" spans="1:3">
      <c r="A38" s="210" t="s">
        <v>166</v>
      </c>
      <c r="B38">
        <v>10</v>
      </c>
      <c r="C38" s="211">
        <v>41911</v>
      </c>
    </row>
    <row r="39" spans="1:3">
      <c r="A39" s="210" t="s">
        <v>92</v>
      </c>
      <c r="B39">
        <v>20</v>
      </c>
      <c r="C39" s="211">
        <v>42411</v>
      </c>
    </row>
    <row r="40" spans="1:3">
      <c r="A40" s="210" t="s">
        <v>24</v>
      </c>
      <c r="B40">
        <v>10</v>
      </c>
      <c r="C40" s="211">
        <v>41611</v>
      </c>
    </row>
    <row r="41" spans="1:3">
      <c r="A41" s="210" t="s">
        <v>208</v>
      </c>
      <c r="B41">
        <v>111</v>
      </c>
      <c r="C41" s="211">
        <v>41911</v>
      </c>
    </row>
    <row r="42" spans="1:3">
      <c r="A42" s="210" t="s">
        <v>150</v>
      </c>
      <c r="B42">
        <v>2</v>
      </c>
      <c r="C42" s="211">
        <v>40311</v>
      </c>
    </row>
    <row r="43" spans="1:3">
      <c r="A43" s="210" t="s">
        <v>25</v>
      </c>
      <c r="B43">
        <v>25</v>
      </c>
      <c r="C43" s="211">
        <v>41611</v>
      </c>
    </row>
    <row r="44" spans="1:3">
      <c r="A44" s="210" t="s">
        <v>163</v>
      </c>
      <c r="B44">
        <v>25</v>
      </c>
      <c r="C44" s="211">
        <v>40911</v>
      </c>
    </row>
    <row r="45" spans="1:3">
      <c r="A45" s="210" t="s">
        <v>199</v>
      </c>
      <c r="B45">
        <v>50</v>
      </c>
      <c r="C45" s="211">
        <v>41611</v>
      </c>
    </row>
    <row r="46" spans="1:3">
      <c r="A46" s="210" t="s">
        <v>192</v>
      </c>
      <c r="B46">
        <v>11</v>
      </c>
      <c r="C46" s="211">
        <v>41411</v>
      </c>
    </row>
    <row r="47" spans="1:3">
      <c r="A47" s="210" t="s">
        <v>210</v>
      </c>
      <c r="B47">
        <v>25</v>
      </c>
      <c r="C47" s="211">
        <v>42811</v>
      </c>
    </row>
    <row r="48" spans="1:3">
      <c r="A48" s="210" t="s">
        <v>209</v>
      </c>
      <c r="B48">
        <v>34</v>
      </c>
      <c r="C48" s="211">
        <v>42811</v>
      </c>
    </row>
    <row r="49" spans="1:3">
      <c r="A49" s="210" t="s">
        <v>160</v>
      </c>
      <c r="B49">
        <v>3</v>
      </c>
      <c r="C49" s="211">
        <v>42411</v>
      </c>
    </row>
    <row r="50" spans="1:3">
      <c r="A50" s="210" t="s">
        <v>207</v>
      </c>
      <c r="B50">
        <v>75</v>
      </c>
      <c r="C50" s="211">
        <v>41611</v>
      </c>
    </row>
    <row r="51" spans="1:3">
      <c r="A51" s="210" t="s">
        <v>151</v>
      </c>
      <c r="B51">
        <v>82</v>
      </c>
      <c r="C51" s="211">
        <v>41261</v>
      </c>
    </row>
    <row r="52" spans="1:3">
      <c r="A52" s="210" t="s">
        <v>29</v>
      </c>
      <c r="B52">
        <v>90</v>
      </c>
      <c r="C52" s="211">
        <v>41911</v>
      </c>
    </row>
    <row r="53" spans="1:3">
      <c r="A53" s="210" t="s">
        <v>69</v>
      </c>
      <c r="B53">
        <v>7</v>
      </c>
      <c r="C53" s="211">
        <v>41611</v>
      </c>
    </row>
    <row r="54" spans="1:3">
      <c r="A54" s="210" t="s">
        <v>157</v>
      </c>
      <c r="B54">
        <v>15</v>
      </c>
      <c r="C54" s="211">
        <v>39311</v>
      </c>
    </row>
    <row r="55" spans="1:3">
      <c r="A55" s="210" t="s">
        <v>33</v>
      </c>
      <c r="B55">
        <v>20</v>
      </c>
      <c r="C55" s="211">
        <v>41611</v>
      </c>
    </row>
    <row r="56" spans="1:3">
      <c r="A56" s="210" t="s">
        <v>179</v>
      </c>
      <c r="B56">
        <v>15</v>
      </c>
      <c r="C56" s="211">
        <v>41911</v>
      </c>
    </row>
    <row r="57" spans="1:3">
      <c r="A57" s="210" t="s">
        <v>87</v>
      </c>
      <c r="B57">
        <v>10</v>
      </c>
      <c r="C57" s="211">
        <v>42411</v>
      </c>
    </row>
    <row r="58" spans="1:3">
      <c r="A58" s="210" t="s">
        <v>173</v>
      </c>
      <c r="B58">
        <v>26</v>
      </c>
      <c r="C58" s="211">
        <v>42411</v>
      </c>
    </row>
    <row r="59" spans="1:3">
      <c r="A59" s="210" t="s">
        <v>197</v>
      </c>
      <c r="B59">
        <v>26</v>
      </c>
      <c r="C59" s="211">
        <v>41611</v>
      </c>
    </row>
    <row r="60" spans="1:3">
      <c r="A60" s="210" t="s">
        <v>198</v>
      </c>
      <c r="B60">
        <v>71</v>
      </c>
      <c r="C60" s="211">
        <v>41611</v>
      </c>
    </row>
    <row r="61" spans="1:3">
      <c r="A61" s="210" t="s">
        <v>34</v>
      </c>
      <c r="B61">
        <v>41</v>
      </c>
      <c r="C61" s="211">
        <v>42411</v>
      </c>
    </row>
    <row r="62" spans="1:3">
      <c r="A62" s="210" t="s">
        <v>169</v>
      </c>
      <c r="B62">
        <v>142</v>
      </c>
      <c r="C62" s="211">
        <v>41761</v>
      </c>
    </row>
    <row r="63" spans="1:3">
      <c r="A63" s="210" t="s">
        <v>71</v>
      </c>
      <c r="C63" s="211"/>
    </row>
    <row r="64" spans="1:3">
      <c r="A64" s="212" t="s">
        <v>65</v>
      </c>
      <c r="B64" s="275">
        <v>1754</v>
      </c>
      <c r="C64" s="213">
        <v>41711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B7"/>
  <sheetViews>
    <sheetView workbookViewId="0">
      <selection activeCell="D9" sqref="D9"/>
    </sheetView>
  </sheetViews>
  <sheetFormatPr defaultColWidth="9" defaultRowHeight="15"/>
  <cols>
    <col min="1" max="1" width="11.140625" customWidth="1"/>
    <col min="2" max="2" width="13.85546875" customWidth="1"/>
    <col min="4" max="4" width="38.5703125" customWidth="1"/>
  </cols>
  <sheetData>
    <row r="3" spans="1:2" ht="15.75">
      <c r="A3" s="245" t="s">
        <v>131</v>
      </c>
    </row>
    <row r="5" spans="1:2" ht="15.75">
      <c r="A5" s="245" t="s">
        <v>139</v>
      </c>
      <c r="B5" s="246">
        <v>350</v>
      </c>
    </row>
    <row r="7" spans="1:2">
      <c r="A7" s="247">
        <v>45974</v>
      </c>
      <c r="B7" s="248" t="s">
        <v>140</v>
      </c>
    </row>
  </sheetData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4:S72"/>
  <sheetViews>
    <sheetView topLeftCell="A44" workbookViewId="0">
      <selection activeCell="G28" sqref="G28"/>
    </sheetView>
  </sheetViews>
  <sheetFormatPr defaultColWidth="9" defaultRowHeight="15"/>
  <cols>
    <col min="3" max="3" width="21.5703125" customWidth="1"/>
  </cols>
  <sheetData>
    <row r="4" spans="3:19">
      <c r="C4" s="1" t="s">
        <v>72</v>
      </c>
      <c r="D4" s="1">
        <v>10</v>
      </c>
      <c r="S4">
        <v>2674</v>
      </c>
    </row>
    <row r="5" spans="3:19">
      <c r="C5" s="1" t="s">
        <v>73</v>
      </c>
      <c r="D5" s="1">
        <v>13</v>
      </c>
    </row>
    <row r="6" spans="3:19">
      <c r="C6" s="1" t="s">
        <v>66</v>
      </c>
      <c r="D6" s="2">
        <v>5</v>
      </c>
    </row>
    <row r="7" spans="3:19">
      <c r="C7" s="1" t="s">
        <v>9</v>
      </c>
      <c r="D7" s="1">
        <v>35</v>
      </c>
    </row>
    <row r="8" spans="3:19">
      <c r="C8" s="1" t="s">
        <v>14</v>
      </c>
      <c r="D8" s="2">
        <v>30</v>
      </c>
    </row>
    <row r="9" spans="3:19">
      <c r="C9" s="1" t="s">
        <v>10</v>
      </c>
      <c r="D9" s="2">
        <v>11</v>
      </c>
    </row>
    <row r="10" spans="3:19">
      <c r="C10" s="1" t="s">
        <v>12</v>
      </c>
      <c r="D10" s="2">
        <v>7</v>
      </c>
    </row>
    <row r="11" spans="3:19">
      <c r="C11" s="1" t="s">
        <v>15</v>
      </c>
      <c r="D11" s="1">
        <v>25</v>
      </c>
    </row>
    <row r="12" spans="3:19">
      <c r="C12" s="1" t="s">
        <v>13</v>
      </c>
      <c r="D12" s="1">
        <v>30</v>
      </c>
    </row>
    <row r="13" spans="3:19">
      <c r="C13" s="1" t="s">
        <v>16</v>
      </c>
      <c r="D13" s="2">
        <v>20</v>
      </c>
    </row>
    <row r="14" spans="3:19">
      <c r="C14" s="1" t="s">
        <v>74</v>
      </c>
      <c r="D14" s="2">
        <v>15</v>
      </c>
    </row>
    <row r="15" spans="3:19">
      <c r="C15" s="1" t="s">
        <v>67</v>
      </c>
      <c r="D15" s="1">
        <v>15</v>
      </c>
    </row>
    <row r="16" spans="3:19">
      <c r="C16" s="1" t="s">
        <v>18</v>
      </c>
      <c r="D16" s="2">
        <v>200</v>
      </c>
    </row>
    <row r="17" spans="3:4">
      <c r="C17" s="1" t="s">
        <v>75</v>
      </c>
      <c r="D17" s="2">
        <v>10</v>
      </c>
    </row>
    <row r="18" spans="3:4">
      <c r="C18" s="1" t="s">
        <v>17</v>
      </c>
      <c r="D18" s="1">
        <v>30</v>
      </c>
    </row>
    <row r="19" spans="3:4">
      <c r="C19" s="1" t="s">
        <v>76</v>
      </c>
      <c r="D19" s="2">
        <v>7</v>
      </c>
    </row>
    <row r="20" spans="3:4">
      <c r="C20" s="1" t="s">
        <v>77</v>
      </c>
      <c r="D20" s="1">
        <v>5</v>
      </c>
    </row>
    <row r="21" spans="3:4">
      <c r="C21" s="1" t="s">
        <v>78</v>
      </c>
      <c r="D21" s="1">
        <v>57</v>
      </c>
    </row>
    <row r="22" spans="3:4">
      <c r="C22" s="1" t="s">
        <v>79</v>
      </c>
      <c r="D22" s="2">
        <v>10</v>
      </c>
    </row>
    <row r="23" spans="3:4">
      <c r="C23" s="1" t="s">
        <v>80</v>
      </c>
      <c r="D23" s="1">
        <v>30</v>
      </c>
    </row>
    <row r="24" spans="3:4">
      <c r="C24" s="1" t="s">
        <v>19</v>
      </c>
      <c r="D24" s="2">
        <v>100</v>
      </c>
    </row>
    <row r="25" spans="3:4">
      <c r="C25" s="1" t="s">
        <v>19</v>
      </c>
      <c r="D25" s="2">
        <v>210</v>
      </c>
    </row>
    <row r="26" spans="3:4">
      <c r="C26" s="1" t="s">
        <v>24</v>
      </c>
      <c r="D26" s="2">
        <v>11</v>
      </c>
    </row>
    <row r="27" spans="3:4">
      <c r="C27" s="1" t="s">
        <v>81</v>
      </c>
      <c r="D27" s="2">
        <v>25</v>
      </c>
    </row>
    <row r="28" spans="3:4">
      <c r="C28" s="1" t="s">
        <v>25</v>
      </c>
      <c r="D28" s="2">
        <v>40</v>
      </c>
    </row>
    <row r="29" spans="3:4">
      <c r="C29" s="1" t="s">
        <v>82</v>
      </c>
      <c r="D29" s="2">
        <v>15</v>
      </c>
    </row>
    <row r="30" spans="3:4">
      <c r="C30" s="1" t="s">
        <v>26</v>
      </c>
      <c r="D30" s="1">
        <v>15</v>
      </c>
    </row>
    <row r="31" spans="3:4">
      <c r="C31" s="1" t="s">
        <v>83</v>
      </c>
      <c r="D31" s="1">
        <v>15</v>
      </c>
    </row>
    <row r="32" spans="3:4">
      <c r="C32" s="1" t="s">
        <v>84</v>
      </c>
      <c r="D32" s="2">
        <v>10</v>
      </c>
    </row>
    <row r="33" spans="3:4">
      <c r="C33" s="1" t="s">
        <v>28</v>
      </c>
      <c r="D33" s="1">
        <v>30</v>
      </c>
    </row>
    <row r="34" spans="3:4">
      <c r="C34" s="1" t="s">
        <v>29</v>
      </c>
      <c r="D34" s="1">
        <v>100</v>
      </c>
    </row>
    <row r="35" spans="3:4">
      <c r="C35" s="1" t="s">
        <v>20</v>
      </c>
      <c r="D35" s="2">
        <v>200</v>
      </c>
    </row>
    <row r="36" spans="3:4">
      <c r="C36" s="1" t="s">
        <v>22</v>
      </c>
      <c r="D36" s="2">
        <v>40</v>
      </c>
    </row>
    <row r="37" spans="3:4">
      <c r="C37" s="1" t="s">
        <v>85</v>
      </c>
      <c r="D37" s="2">
        <v>35</v>
      </c>
    </row>
    <row r="38" spans="3:4">
      <c r="C38" s="1" t="s">
        <v>69</v>
      </c>
      <c r="D38" s="2">
        <v>20</v>
      </c>
    </row>
    <row r="39" spans="3:4">
      <c r="C39" s="1" t="s">
        <v>30</v>
      </c>
      <c r="D39" s="2">
        <v>50</v>
      </c>
    </row>
    <row r="40" spans="3:4">
      <c r="C40" s="1" t="s">
        <v>86</v>
      </c>
      <c r="D40" s="2">
        <v>30</v>
      </c>
    </row>
    <row r="41" spans="3:4">
      <c r="C41" s="1" t="s">
        <v>33</v>
      </c>
      <c r="D41" s="1">
        <v>5</v>
      </c>
    </row>
    <row r="42" spans="3:4">
      <c r="C42" s="1" t="s">
        <v>70</v>
      </c>
      <c r="D42" s="2">
        <v>15</v>
      </c>
    </row>
    <row r="43" spans="3:4">
      <c r="C43" s="1" t="s">
        <v>87</v>
      </c>
      <c r="D43" s="1">
        <v>10</v>
      </c>
    </row>
    <row r="44" spans="3:4">
      <c r="C44" s="1" t="s">
        <v>88</v>
      </c>
      <c r="D44" s="1">
        <v>15</v>
      </c>
    </row>
    <row r="45" spans="3:4">
      <c r="C45" s="1" t="s">
        <v>89</v>
      </c>
      <c r="D45" s="2">
        <v>30</v>
      </c>
    </row>
    <row r="46" spans="3:4">
      <c r="C46" s="1" t="s">
        <v>90</v>
      </c>
      <c r="D46" s="1">
        <v>380</v>
      </c>
    </row>
    <row r="47" spans="3:4">
      <c r="C47" s="1" t="s">
        <v>34</v>
      </c>
      <c r="D47" s="1">
        <v>163</v>
      </c>
    </row>
    <row r="48" spans="3:4">
      <c r="C48" s="1" t="s">
        <v>36</v>
      </c>
      <c r="D48" s="2">
        <v>310</v>
      </c>
    </row>
    <row r="49" spans="3:4">
      <c r="C49" s="1" t="s">
        <v>37</v>
      </c>
      <c r="D49" s="2">
        <v>50</v>
      </c>
    </row>
    <row r="50" spans="3:4">
      <c r="C50" s="1"/>
      <c r="D50" s="1"/>
    </row>
    <row r="51" spans="3:4">
      <c r="C51" s="1"/>
      <c r="D51" s="1"/>
    </row>
    <row r="52" spans="3:4">
      <c r="C52" s="1"/>
      <c r="D52" s="1"/>
    </row>
    <row r="53" spans="3:4">
      <c r="C53" s="1"/>
      <c r="D53" s="2"/>
    </row>
    <row r="54" spans="3:4">
      <c r="C54" s="1"/>
      <c r="D54" s="2"/>
    </row>
    <row r="55" spans="3:4">
      <c r="C55" s="1"/>
      <c r="D55" s="2"/>
    </row>
    <row r="56" spans="3:4">
      <c r="C56" s="1"/>
      <c r="D56" s="2"/>
    </row>
    <row r="57" spans="3:4">
      <c r="C57" s="1"/>
      <c r="D57" s="2"/>
    </row>
    <row r="58" spans="3:4">
      <c r="C58" s="1"/>
      <c r="D58" s="2"/>
    </row>
    <row r="59" spans="3:4">
      <c r="C59" s="1"/>
      <c r="D59" s="1"/>
    </row>
    <row r="60" spans="3:4">
      <c r="C60" s="1"/>
      <c r="D60" s="1"/>
    </row>
    <row r="61" spans="3:4">
      <c r="C61" s="1"/>
      <c r="D61" s="1"/>
    </row>
    <row r="62" spans="3:4">
      <c r="C62" s="1"/>
      <c r="D62" s="2"/>
    </row>
    <row r="63" spans="3:4">
      <c r="C63" s="1"/>
      <c r="D63" s="2"/>
    </row>
    <row r="64" spans="3:4">
      <c r="C64" s="1"/>
      <c r="D64" s="2"/>
    </row>
    <row r="65" spans="3:4">
      <c r="C65" s="1"/>
      <c r="D65" s="1"/>
    </row>
    <row r="66" spans="3:4">
      <c r="C66" s="1"/>
      <c r="D66" s="2"/>
    </row>
    <row r="67" spans="3:4">
      <c r="C67" s="1"/>
      <c r="D67" s="1"/>
    </row>
    <row r="68" spans="3:4">
      <c r="C68" s="1"/>
      <c r="D68" s="2"/>
    </row>
    <row r="69" spans="3:4">
      <c r="C69" s="1"/>
      <c r="D69" s="1"/>
    </row>
    <row r="70" spans="3:4">
      <c r="C70" s="1"/>
      <c r="D70" s="1"/>
    </row>
    <row r="71" spans="3:4">
      <c r="C71" s="1"/>
      <c r="D71" s="2"/>
    </row>
    <row r="72" spans="3:4">
      <c r="C72" s="1"/>
      <c r="D72" s="2"/>
    </row>
  </sheetData>
  <sortState xmlns:xlrd2="http://schemas.microsoft.com/office/spreadsheetml/2017/richdata2" ref="C4:D50">
    <sortCondition ref="C4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C5:L97"/>
  <sheetViews>
    <sheetView topLeftCell="A12" workbookViewId="0">
      <selection activeCell="E19" sqref="E19"/>
    </sheetView>
  </sheetViews>
  <sheetFormatPr defaultColWidth="9" defaultRowHeight="15"/>
  <cols>
    <col min="3" max="3" width="22.42578125" bestFit="1" customWidth="1"/>
    <col min="8" max="8" width="21.85546875" bestFit="1" customWidth="1"/>
    <col min="11" max="11" width="19.85546875" customWidth="1"/>
  </cols>
  <sheetData>
    <row r="5" spans="3:12" ht="21">
      <c r="C5" s="241" t="s">
        <v>134</v>
      </c>
      <c r="D5" s="2"/>
      <c r="H5" s="241" t="s">
        <v>137</v>
      </c>
      <c r="I5" s="1"/>
      <c r="K5" s="244" t="s">
        <v>138</v>
      </c>
      <c r="L5" s="243"/>
    </row>
    <row r="6" spans="3:12">
      <c r="C6" s="1"/>
      <c r="D6" s="1"/>
      <c r="H6" s="155" t="s">
        <v>11</v>
      </c>
      <c r="I6" s="177">
        <v>38</v>
      </c>
      <c r="K6" s="222" t="s">
        <v>95</v>
      </c>
      <c r="L6" s="222">
        <v>3</v>
      </c>
    </row>
    <row r="7" spans="3:12">
      <c r="C7" s="1"/>
      <c r="D7" s="202"/>
      <c r="H7" s="155" t="s">
        <v>14</v>
      </c>
      <c r="I7" s="155">
        <v>20</v>
      </c>
      <c r="K7" s="222" t="s">
        <v>66</v>
      </c>
      <c r="L7" s="223">
        <v>11</v>
      </c>
    </row>
    <row r="8" spans="3:12">
      <c r="C8" s="1" t="s">
        <v>50</v>
      </c>
      <c r="D8" s="202">
        <v>2656</v>
      </c>
      <c r="H8" s="155" t="s">
        <v>15</v>
      </c>
      <c r="I8" s="204">
        <v>4</v>
      </c>
      <c r="K8" s="222" t="s">
        <v>9</v>
      </c>
      <c r="L8" s="223">
        <v>19</v>
      </c>
    </row>
    <row r="9" spans="3:12">
      <c r="C9" s="1"/>
      <c r="D9" s="2"/>
      <c r="H9" s="155" t="s">
        <v>18</v>
      </c>
      <c r="I9" s="155">
        <v>93</v>
      </c>
      <c r="K9" s="222" t="s">
        <v>9</v>
      </c>
      <c r="L9" s="222">
        <v>20</v>
      </c>
    </row>
    <row r="10" spans="3:12">
      <c r="C10" s="1"/>
      <c r="D10" s="2"/>
      <c r="H10" s="155" t="s">
        <v>94</v>
      </c>
      <c r="I10" s="177">
        <v>11</v>
      </c>
      <c r="K10" s="222" t="s">
        <v>12</v>
      </c>
      <c r="L10" s="222">
        <v>57</v>
      </c>
    </row>
    <row r="11" spans="3:12">
      <c r="C11" s="1" t="s">
        <v>135</v>
      </c>
      <c r="D11" s="2">
        <v>2203</v>
      </c>
      <c r="H11" s="155" t="s">
        <v>129</v>
      </c>
      <c r="I11" s="177">
        <v>595</v>
      </c>
      <c r="K11" s="222" t="s">
        <v>108</v>
      </c>
      <c r="L11" s="224">
        <v>65</v>
      </c>
    </row>
    <row r="12" spans="3:12">
      <c r="C12" s="1"/>
      <c r="D12" s="1"/>
      <c r="H12" s="155" t="s">
        <v>91</v>
      </c>
      <c r="I12" s="177">
        <v>66</v>
      </c>
      <c r="K12" s="222" t="s">
        <v>16</v>
      </c>
      <c r="L12" s="224">
        <v>123</v>
      </c>
    </row>
    <row r="13" spans="3:12">
      <c r="C13" s="1"/>
      <c r="D13" s="1"/>
      <c r="H13" s="155" t="s">
        <v>20</v>
      </c>
      <c r="I13" s="177">
        <v>106</v>
      </c>
      <c r="K13" s="222" t="s">
        <v>74</v>
      </c>
      <c r="L13" s="223">
        <v>10</v>
      </c>
    </row>
    <row r="14" spans="3:12">
      <c r="C14" s="1" t="s">
        <v>136</v>
      </c>
      <c r="D14" s="2">
        <v>88</v>
      </c>
      <c r="H14" s="240" t="s">
        <v>133</v>
      </c>
      <c r="I14" s="240">
        <v>120</v>
      </c>
      <c r="K14" s="222" t="s">
        <v>67</v>
      </c>
      <c r="L14" s="223">
        <v>36</v>
      </c>
    </row>
    <row r="15" spans="3:12">
      <c r="C15" s="1"/>
      <c r="D15" s="1"/>
      <c r="H15" s="155" t="s">
        <v>85</v>
      </c>
      <c r="I15" s="177">
        <v>40</v>
      </c>
      <c r="K15" s="222" t="s">
        <v>118</v>
      </c>
      <c r="L15" s="223">
        <v>1</v>
      </c>
    </row>
    <row r="16" spans="3:12">
      <c r="C16" s="1"/>
      <c r="D16" s="2"/>
      <c r="H16" s="155" t="s">
        <v>23</v>
      </c>
      <c r="I16" s="204">
        <v>101</v>
      </c>
      <c r="K16" s="222" t="s">
        <v>17</v>
      </c>
      <c r="L16" s="223">
        <v>50</v>
      </c>
    </row>
    <row r="17" spans="3:12">
      <c r="C17" s="1"/>
      <c r="D17" s="202"/>
      <c r="H17" s="155" t="s">
        <v>117</v>
      </c>
      <c r="I17" s="177">
        <v>1</v>
      </c>
      <c r="K17" s="222" t="s">
        <v>127</v>
      </c>
      <c r="L17" s="223">
        <v>15</v>
      </c>
    </row>
    <row r="18" spans="3:12">
      <c r="C18" s="1"/>
      <c r="D18" s="2"/>
      <c r="H18" s="155" t="s">
        <v>116</v>
      </c>
      <c r="I18" s="177">
        <v>35</v>
      </c>
      <c r="K18" s="222" t="s">
        <v>103</v>
      </c>
      <c r="L18" s="223">
        <v>78</v>
      </c>
    </row>
    <row r="19" spans="3:12">
      <c r="C19" s="1"/>
      <c r="D19" s="202"/>
      <c r="H19" s="155" t="s">
        <v>27</v>
      </c>
      <c r="I19" s="177">
        <v>11</v>
      </c>
      <c r="K19" s="222" t="s">
        <v>111</v>
      </c>
      <c r="L19" s="222">
        <v>10</v>
      </c>
    </row>
    <row r="20" spans="3:12" ht="21">
      <c r="C20" s="1"/>
      <c r="D20" s="242">
        <f>SUM(D8:D19)</f>
        <v>4947</v>
      </c>
      <c r="H20" s="155" t="s">
        <v>119</v>
      </c>
      <c r="I20" s="177">
        <v>25</v>
      </c>
      <c r="K20" s="222" t="s">
        <v>114</v>
      </c>
      <c r="L20" s="223">
        <v>5</v>
      </c>
    </row>
    <row r="21" spans="3:12">
      <c r="C21" s="1"/>
      <c r="D21" s="2"/>
      <c r="H21" s="155" t="s">
        <v>101</v>
      </c>
      <c r="I21" s="177">
        <v>40</v>
      </c>
      <c r="K21" s="222" t="s">
        <v>130</v>
      </c>
      <c r="L21" s="223">
        <v>24</v>
      </c>
    </row>
    <row r="22" spans="3:12">
      <c r="C22" s="1"/>
      <c r="D22" s="2"/>
      <c r="H22" s="155" t="s">
        <v>32</v>
      </c>
      <c r="I22" s="177">
        <v>45</v>
      </c>
      <c r="K22" s="222" t="s">
        <v>97</v>
      </c>
      <c r="L22" s="223">
        <v>10</v>
      </c>
    </row>
    <row r="23" spans="3:12">
      <c r="C23" s="1"/>
      <c r="D23" s="2"/>
      <c r="H23" s="155" t="s">
        <v>125</v>
      </c>
      <c r="I23" s="177">
        <v>10</v>
      </c>
      <c r="K23" s="222" t="s">
        <v>128</v>
      </c>
      <c r="L23" s="223">
        <v>30</v>
      </c>
    </row>
    <row r="24" spans="3:12">
      <c r="C24" s="1"/>
      <c r="D24" s="202"/>
      <c r="H24" s="155" t="s">
        <v>121</v>
      </c>
      <c r="I24" s="177">
        <v>30</v>
      </c>
      <c r="K24" s="222" t="s">
        <v>115</v>
      </c>
      <c r="L24" s="223">
        <v>20</v>
      </c>
    </row>
    <row r="25" spans="3:12">
      <c r="C25" s="1"/>
      <c r="D25" s="2"/>
      <c r="H25" s="155" t="s">
        <v>126</v>
      </c>
      <c r="I25" s="177">
        <v>30</v>
      </c>
      <c r="K25" s="222" t="s">
        <v>68</v>
      </c>
      <c r="L25" s="222">
        <v>61</v>
      </c>
    </row>
    <row r="26" spans="3:12">
      <c r="C26" s="1"/>
      <c r="D26" s="2"/>
      <c r="H26" s="155" t="s">
        <v>35</v>
      </c>
      <c r="I26" s="177">
        <v>8</v>
      </c>
      <c r="K26" s="222" t="s">
        <v>107</v>
      </c>
      <c r="L26" s="222">
        <v>39</v>
      </c>
    </row>
    <row r="27" spans="3:12">
      <c r="C27" s="1"/>
      <c r="D27" s="2"/>
      <c r="H27" s="155" t="s">
        <v>120</v>
      </c>
      <c r="I27" s="177">
        <v>30</v>
      </c>
      <c r="K27" s="222" t="s">
        <v>93</v>
      </c>
      <c r="L27" s="223">
        <v>60</v>
      </c>
    </row>
    <row r="28" spans="3:12">
      <c r="C28" s="1"/>
      <c r="D28" s="2"/>
      <c r="H28" s="155" t="s">
        <v>122</v>
      </c>
      <c r="I28" s="177">
        <v>51</v>
      </c>
      <c r="K28" s="222" t="s">
        <v>92</v>
      </c>
      <c r="L28" s="222">
        <v>21</v>
      </c>
    </row>
    <row r="29" spans="3:12">
      <c r="C29" s="1"/>
      <c r="D29" s="2"/>
      <c r="H29" s="155" t="s">
        <v>124</v>
      </c>
      <c r="I29" s="177">
        <v>1</v>
      </c>
      <c r="K29" s="222" t="s">
        <v>113</v>
      </c>
      <c r="L29" s="222">
        <v>37</v>
      </c>
    </row>
    <row r="30" spans="3:12">
      <c r="C30" s="1"/>
      <c r="D30" s="2"/>
      <c r="H30" s="155" t="s">
        <v>123</v>
      </c>
      <c r="I30" s="177">
        <v>32</v>
      </c>
      <c r="K30" s="222" t="s">
        <v>109</v>
      </c>
      <c r="L30" s="223">
        <v>105</v>
      </c>
    </row>
    <row r="31" spans="3:12">
      <c r="C31" s="1"/>
      <c r="D31" s="2"/>
      <c r="H31" s="155" t="s">
        <v>105</v>
      </c>
      <c r="I31" s="177">
        <v>14</v>
      </c>
      <c r="K31" s="222" t="s">
        <v>28</v>
      </c>
      <c r="L31" s="223">
        <v>60</v>
      </c>
    </row>
    <row r="32" spans="3:12">
      <c r="C32" s="1"/>
      <c r="D32" s="2"/>
      <c r="H32" s="155" t="s">
        <v>36</v>
      </c>
      <c r="I32" s="177">
        <v>72</v>
      </c>
      <c r="K32" s="222" t="s">
        <v>29</v>
      </c>
      <c r="L32" s="223">
        <v>23</v>
      </c>
    </row>
    <row r="33" spans="3:12">
      <c r="C33" s="1"/>
      <c r="D33" s="2"/>
      <c r="H33" s="1"/>
      <c r="I33" s="1"/>
      <c r="K33" s="222" t="s">
        <v>112</v>
      </c>
      <c r="L33" s="224">
        <v>10</v>
      </c>
    </row>
    <row r="34" spans="3:12">
      <c r="C34" s="1"/>
      <c r="D34" s="2"/>
      <c r="H34" s="1"/>
      <c r="I34" s="1"/>
      <c r="K34" s="222" t="s">
        <v>110</v>
      </c>
      <c r="L34" s="223">
        <v>31</v>
      </c>
    </row>
    <row r="35" spans="3:12" ht="21">
      <c r="C35" s="1"/>
      <c r="D35" s="2"/>
      <c r="H35" s="1"/>
      <c r="I35" s="242">
        <f>SUM(I6:I34)</f>
        <v>1629</v>
      </c>
      <c r="K35" s="222" t="s">
        <v>33</v>
      </c>
      <c r="L35" s="222">
        <v>60</v>
      </c>
    </row>
    <row r="36" spans="3:12">
      <c r="C36" s="1"/>
      <c r="D36" s="2"/>
      <c r="H36" s="1"/>
      <c r="I36" s="1"/>
      <c r="K36" s="222" t="s">
        <v>106</v>
      </c>
      <c r="L36" s="223">
        <v>6</v>
      </c>
    </row>
    <row r="37" spans="3:12">
      <c r="C37" s="1"/>
      <c r="D37" s="2"/>
      <c r="H37" s="1"/>
      <c r="I37" s="2"/>
      <c r="K37" s="222" t="s">
        <v>100</v>
      </c>
      <c r="L37" s="222">
        <v>101</v>
      </c>
    </row>
    <row r="38" spans="3:12">
      <c r="C38" s="1"/>
      <c r="D38" s="2"/>
      <c r="H38" s="1"/>
      <c r="I38" s="1"/>
      <c r="K38" s="222" t="s">
        <v>34</v>
      </c>
      <c r="L38" s="224">
        <v>247</v>
      </c>
    </row>
    <row r="39" spans="3:12">
      <c r="C39" s="1"/>
      <c r="D39" s="2"/>
      <c r="H39" s="1"/>
      <c r="I39" s="2"/>
      <c r="K39" s="243"/>
      <c r="L39" s="243"/>
    </row>
    <row r="40" spans="3:12" ht="21">
      <c r="C40" s="1"/>
      <c r="D40" s="2"/>
      <c r="H40" s="1"/>
      <c r="I40" s="2"/>
      <c r="K40" s="243"/>
      <c r="L40" s="244">
        <f>SUM(L6:L39)</f>
        <v>1448</v>
      </c>
    </row>
    <row r="41" spans="3:12">
      <c r="C41" s="1"/>
      <c r="D41" s="2"/>
      <c r="H41" s="1"/>
      <c r="I41" s="2"/>
      <c r="K41" s="243"/>
      <c r="L41" s="243"/>
    </row>
    <row r="42" spans="3:12">
      <c r="C42" s="1"/>
      <c r="D42" s="2"/>
      <c r="H42" s="1"/>
      <c r="I42" s="2"/>
    </row>
    <row r="43" spans="3:12">
      <c r="C43" s="1"/>
      <c r="D43" s="2"/>
      <c r="H43" s="1"/>
      <c r="I43" s="2"/>
    </row>
    <row r="44" spans="3:12">
      <c r="C44" s="1"/>
      <c r="D44" s="2"/>
      <c r="H44" s="1"/>
      <c r="I44" s="2"/>
    </row>
    <row r="45" spans="3:12">
      <c r="C45" s="1"/>
      <c r="D45" s="2"/>
      <c r="H45" s="1"/>
      <c r="I45" s="1"/>
    </row>
    <row r="46" spans="3:12">
      <c r="C46" s="1"/>
      <c r="D46" s="2"/>
      <c r="H46" s="1"/>
      <c r="I46" s="2"/>
    </row>
    <row r="47" spans="3:12" ht="18.75">
      <c r="C47" s="239"/>
      <c r="D47" s="239"/>
      <c r="H47" s="1"/>
      <c r="I47" s="202"/>
    </row>
    <row r="48" spans="3:12">
      <c r="C48" s="1"/>
      <c r="D48" s="1"/>
      <c r="H48" s="1"/>
      <c r="I48" s="2"/>
    </row>
    <row r="49" spans="3:9">
      <c r="C49" s="1"/>
      <c r="D49" s="1"/>
      <c r="H49" s="1"/>
      <c r="I49" s="1"/>
    </row>
    <row r="50" spans="3:9">
      <c r="C50" s="1"/>
      <c r="D50" s="2"/>
      <c r="H50" s="1"/>
      <c r="I50" s="1"/>
    </row>
    <row r="51" spans="3:9">
      <c r="C51" s="1"/>
      <c r="D51" s="2"/>
      <c r="H51" s="1"/>
      <c r="I51" s="1"/>
    </row>
    <row r="52" spans="3:9">
      <c r="C52" s="1"/>
      <c r="D52" s="2"/>
      <c r="H52" s="1"/>
      <c r="I52" s="2"/>
    </row>
    <row r="53" spans="3:9">
      <c r="C53" s="1"/>
      <c r="D53" s="1"/>
      <c r="H53" s="1"/>
      <c r="I53" s="2"/>
    </row>
    <row r="54" spans="3:9">
      <c r="C54" s="1"/>
      <c r="D54" s="1"/>
      <c r="H54" s="1"/>
      <c r="I54" s="1"/>
    </row>
    <row r="55" spans="3:9">
      <c r="C55" s="1"/>
      <c r="D55" s="202"/>
      <c r="H55" s="1"/>
      <c r="I55" s="202"/>
    </row>
    <row r="56" spans="3:9" ht="18.75">
      <c r="C56" s="1"/>
      <c r="D56" s="202"/>
      <c r="H56" s="237"/>
      <c r="I56" s="238"/>
    </row>
    <row r="57" spans="3:9">
      <c r="C57" s="1"/>
      <c r="D57" s="2"/>
    </row>
    <row r="58" spans="3:9">
      <c r="C58" s="1"/>
      <c r="D58" s="2"/>
    </row>
    <row r="59" spans="3:9">
      <c r="C59" s="1"/>
      <c r="D59" s="2"/>
    </row>
    <row r="60" spans="3:9">
      <c r="C60" s="1"/>
      <c r="D60" s="2"/>
    </row>
    <row r="61" spans="3:9">
      <c r="C61" s="1"/>
      <c r="D61" s="202"/>
    </row>
    <row r="62" spans="3:9">
      <c r="C62" s="1"/>
      <c r="D62" s="202"/>
    </row>
    <row r="63" spans="3:9">
      <c r="C63" s="1"/>
      <c r="D63" s="2"/>
    </row>
    <row r="64" spans="3:9">
      <c r="C64" s="1"/>
      <c r="D64" s="2"/>
    </row>
    <row r="65" spans="3:4">
      <c r="C65" s="1"/>
      <c r="D65" s="2"/>
    </row>
    <row r="66" spans="3:4">
      <c r="C66" s="1"/>
      <c r="D66" s="1"/>
    </row>
    <row r="67" spans="3:4">
      <c r="C67" s="1"/>
      <c r="D67" s="2"/>
    </row>
    <row r="68" spans="3:4">
      <c r="C68" s="1"/>
      <c r="D68" s="1"/>
    </row>
    <row r="69" spans="3:4">
      <c r="C69" s="1"/>
      <c r="D69" s="2"/>
    </row>
    <row r="70" spans="3:4">
      <c r="C70" s="1"/>
      <c r="D70" s="2"/>
    </row>
    <row r="71" spans="3:4">
      <c r="C71" s="1"/>
      <c r="D71" s="2"/>
    </row>
    <row r="72" spans="3:4">
      <c r="C72" s="1"/>
      <c r="D72" s="1"/>
    </row>
    <row r="73" spans="3:4">
      <c r="C73" s="1"/>
      <c r="D73" s="2"/>
    </row>
    <row r="74" spans="3:4">
      <c r="C74" s="1"/>
      <c r="D74" s="2"/>
    </row>
    <row r="75" spans="3:4">
      <c r="C75" s="1"/>
      <c r="D75" s="1"/>
    </row>
    <row r="76" spans="3:4">
      <c r="C76" s="1"/>
      <c r="D76" s="1"/>
    </row>
    <row r="77" spans="3:4">
      <c r="C77" s="1"/>
      <c r="D77" s="2"/>
    </row>
    <row r="78" spans="3:4">
      <c r="C78" s="1"/>
      <c r="D78" s="1"/>
    </row>
    <row r="79" spans="3:4">
      <c r="C79" s="1"/>
      <c r="D79" s="2"/>
    </row>
    <row r="80" spans="3:4">
      <c r="C80" s="1"/>
      <c r="D80" s="1"/>
    </row>
    <row r="81" spans="3:4">
      <c r="C81" s="1"/>
      <c r="D81" s="2"/>
    </row>
    <row r="82" spans="3:4">
      <c r="C82" s="1"/>
      <c r="D82" s="2"/>
    </row>
    <row r="83" spans="3:4">
      <c r="C83" s="1"/>
      <c r="D83" s="2"/>
    </row>
    <row r="84" spans="3:4">
      <c r="C84" s="1"/>
      <c r="D84" s="2"/>
    </row>
    <row r="85" spans="3:4">
      <c r="C85" s="1"/>
      <c r="D85" s="2"/>
    </row>
    <row r="86" spans="3:4">
      <c r="C86" s="1"/>
      <c r="D86" s="2"/>
    </row>
    <row r="87" spans="3:4">
      <c r="C87" s="1"/>
      <c r="D87" s="1"/>
    </row>
    <row r="88" spans="3:4">
      <c r="C88" s="1"/>
      <c r="D88" s="2"/>
    </row>
    <row r="89" spans="3:4">
      <c r="C89" s="1"/>
      <c r="D89" s="202"/>
    </row>
    <row r="90" spans="3:4">
      <c r="C90" s="1"/>
      <c r="D90" s="2"/>
    </row>
    <row r="91" spans="3:4">
      <c r="C91" s="1"/>
      <c r="D91" s="1"/>
    </row>
    <row r="92" spans="3:4">
      <c r="C92" s="1"/>
      <c r="D92" s="1"/>
    </row>
    <row r="93" spans="3:4">
      <c r="C93" s="1"/>
      <c r="D93" s="1"/>
    </row>
    <row r="94" spans="3:4">
      <c r="C94" s="1"/>
      <c r="D94" s="2"/>
    </row>
    <row r="95" spans="3:4">
      <c r="C95" s="1"/>
      <c r="D95" s="2"/>
    </row>
    <row r="96" spans="3:4">
      <c r="C96" s="1"/>
      <c r="D96" s="1"/>
    </row>
    <row r="97" spans="3:4">
      <c r="C97" s="1"/>
      <c r="D97" s="202"/>
    </row>
  </sheetData>
  <sortState xmlns:xlrd2="http://schemas.microsoft.com/office/spreadsheetml/2017/richdata2" ref="C5:D97">
    <sortCondition ref="C5"/>
  </sortState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KMD NXT</vt:lpstr>
      <vt:lpstr>Sheet4</vt:lpstr>
      <vt:lpstr>Sheet5</vt:lpstr>
      <vt:lpstr>KAY 2</vt:lpstr>
      <vt:lpstr>WIRE</vt:lpstr>
      <vt:lpstr>Mp_Total</vt:lpstr>
      <vt:lpstr>Cg_Total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Singhal</dc:creator>
  <cp:lastModifiedBy>Deepak Singhal</cp:lastModifiedBy>
  <cp:lastPrinted>2026-01-27T06:28:05Z</cp:lastPrinted>
  <dcterms:created xsi:type="dcterms:W3CDTF">2024-09-26T09:57:00Z</dcterms:created>
  <dcterms:modified xsi:type="dcterms:W3CDTF">2026-02-14T12:46:18Z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1C5F25A9AD864F28977C73EC91924AE9_12</vt:lpwstr>
  </property>
  <property fmtid="{D5CDD505-2E9C-101B-9397-08002B2CF9AE}" pid="3" name="KSOProductBuildVer">
    <vt:lpwstr>1033-12.2.0.20326</vt:lpwstr>
  </property>
</Properties>
</file>